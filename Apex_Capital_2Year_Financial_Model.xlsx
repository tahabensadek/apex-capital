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énario 1 - Conservateur" sheetId="2" state="visible" r:id="rId2"/>
    <sheet xmlns:r="http://schemas.openxmlformats.org/officeDocument/2006/relationships" name="Scénario 2 - Cible Réaliste" sheetId="3" state="visible" r:id="rId3"/>
    <sheet xmlns:r="http://schemas.openxmlformats.org/officeDocument/2006/relationships" name="Scénario 3 - Agressif Scale" sheetId="4" state="visible" r:id="rId4"/>
    <sheet xmlns:r="http://schemas.openxmlformats.org/officeDocument/2006/relationships" name="Unit Economics &amp; Fiscalit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064E3B"/>
      <sz val="16"/>
    </font>
    <font>
      <name val="Calibri"/>
      <i val="1"/>
      <color rgb="0064748B"/>
      <sz val="11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64E3B"/>
      <sz val="11"/>
    </font>
    <font>
      <name val="Calibri"/>
      <i val="1"/>
      <color rgb="0064748B"/>
      <sz val="10"/>
    </font>
    <font>
      <name val="Calibri"/>
      <b val="1"/>
      <color rgb="0010B981"/>
      <sz val="11"/>
    </font>
  </fonts>
  <fills count="6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64E3B"/>
      </top>
      <bottom style="double">
        <color rgb="00064E3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164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5" fillId="3" borderId="1" pivotButton="0" quotePrefix="0" xfId="0"/>
    <xf numFmtId="164" fontId="7" fillId="3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8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0" fontId="4" fillId="5" borderId="2" pivotButton="0" quotePrefix="0" xfId="0"/>
    <xf numFmtId="164" fontId="9" fillId="5" borderId="2" applyAlignment="1" pivotButton="0" quotePrefix="0" xfId="0">
      <alignment horizontal="right"/>
    </xf>
    <xf numFmtId="3" fontId="9" fillId="5" borderId="2" applyAlignment="1" pivotButton="0" quotePrefix="0" xfId="0">
      <alignment horizontal="right"/>
    </xf>
    <xf numFmtId="0" fontId="6" fillId="0" borderId="1" pivotButton="0" quotePrefix="0" xfId="0"/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111" customWidth="1" min="1" max="1"/>
    <col width="36" customWidth="1" min="2" max="2"/>
    <col width="49" customWidth="1" min="3" max="3"/>
    <col width="51" customWidth="1" min="4" max="4"/>
  </cols>
  <sheetData>
    <row r="1">
      <c r="A1" s="1" t="inlineStr">
        <is>
          <t>APEX CAPITAL FINANCIAL GROUP INC. — PLAN FINANCIER &amp; MARKETING (24 MOIS)</t>
        </is>
      </c>
    </row>
    <row r="2">
      <c r="A2" s="2" t="inlineStr">
        <is>
          <t>Modélisation Prévisionnelle des Flux de Trésorerie, de l'Acquisition Google Ads &amp; des 3 Scénarios d'Échelle</t>
        </is>
      </c>
    </row>
    <row r="3"/>
    <row r="4">
      <c r="A4" s="3" t="inlineStr">
        <is>
          <t>1. SYNTHÈSE COMPARATIVE DES 3 SCÉNARIOS (CUMUL SUR 24 MOIS)</t>
        </is>
      </c>
    </row>
    <row r="5">
      <c r="A5" s="4" t="inlineStr">
        <is>
          <t>Métrique Stratégique (24 Mois)</t>
        </is>
      </c>
      <c r="B5" s="4" t="inlineStr">
        <is>
          <t>Scénario 1 : Conservateur (Solo)</t>
        </is>
      </c>
      <c r="C5" s="4" t="inlineStr">
        <is>
          <t>Scénario 2 : Cible Réaliste (Taha + 1 Closer)</t>
        </is>
      </c>
      <c r="D5" s="4" t="inlineStr">
        <is>
          <t>Scénario 3 : Agressif (Trading Floor 3 Closers)</t>
        </is>
      </c>
    </row>
    <row r="6">
      <c r="A6" s="5" t="inlineStr">
        <is>
          <t>Volume Total de Financements Décaissés</t>
        </is>
      </c>
      <c r="B6" s="6" t="n">
        <v>8120000</v>
      </c>
      <c r="C6" s="6" t="n">
        <v>19488000</v>
      </c>
      <c r="D6" s="6" t="n">
        <v>37120000</v>
      </c>
    </row>
    <row r="7">
      <c r="A7" s="5" t="inlineStr">
        <is>
          <t>Nombre Total de Prêts Déboursés (Nouveaux + Renouvellements)</t>
        </is>
      </c>
      <c r="B7" s="7" t="n">
        <v>140</v>
      </c>
      <c r="C7" s="7" t="n">
        <v>336</v>
      </c>
      <c r="D7" s="7" t="n">
        <v>640</v>
      </c>
    </row>
    <row r="8">
      <c r="A8" s="5" t="inlineStr">
        <is>
          <t>Chiffre d'Affaires Brut (Mandat 5% + Commission Prêteur 1.5%)</t>
        </is>
      </c>
      <c r="B8" s="6" t="n">
        <v>527800</v>
      </c>
      <c r="C8" s="6" t="n">
        <v>1266720</v>
      </c>
      <c r="D8" s="6" t="n">
        <v>2412800</v>
      </c>
    </row>
    <row r="9">
      <c r="A9" s="5" t="inlineStr">
        <is>
          <t>Dépenses Publicitaires Totales (Google Ads)</t>
        </is>
      </c>
      <c r="B9" s="6" t="n">
        <v>72000</v>
      </c>
      <c r="C9" s="6" t="n">
        <v>138000</v>
      </c>
      <c r="D9" s="6" t="n">
        <v>240000</v>
      </c>
    </row>
    <row r="10">
      <c r="A10" s="5" t="inlineStr">
        <is>
          <t>Commissions Versées aux Closers (Split 25%)</t>
        </is>
      </c>
      <c r="B10" s="6" t="n">
        <v>0</v>
      </c>
      <c r="C10" s="6" t="n">
        <v>185000</v>
      </c>
      <c r="D10" s="6" t="n">
        <v>420000</v>
      </c>
    </row>
    <row r="11">
      <c r="A11" s="5" t="inlineStr">
        <is>
          <t>Frais d'Opérations (Telnyx, Serveurs, Flinks, Outils)</t>
        </is>
      </c>
      <c r="B11" s="6" t="n">
        <v>9600</v>
      </c>
      <c r="C11" s="6" t="n">
        <v>14400</v>
      </c>
      <c r="D11" s="6" t="n">
        <v>24000</v>
      </c>
    </row>
    <row r="12">
      <c r="A12" s="8" t="inlineStr">
        <is>
          <t>PROFIT NET CUMULÉ APEX CAPITAL (24 MOIS)</t>
        </is>
      </c>
      <c r="B12" s="9" t="n">
        <v>446200</v>
      </c>
      <c r="C12" s="9" t="n">
        <v>929320</v>
      </c>
      <c r="D12" s="9" t="n">
        <v>1728800</v>
      </c>
    </row>
    <row r="13">
      <c r="A13" s="5" t="inlineStr">
        <is>
          <t>Marge Nette Opérationnelle Moyenne</t>
        </is>
      </c>
      <c r="B13" s="10" t="n">
        <v>0.845</v>
      </c>
      <c r="C13" s="10" t="n">
        <v>0.734</v>
      </c>
      <c r="D13" s="10" t="n">
        <v>0.716</v>
      </c>
    </row>
    <row r="14">
      <c r="A14" s="5" t="inlineStr">
        <is>
          <t>Délai d'Achat Cash de la Porsche 911 Carrera 4S (180k$)</t>
        </is>
      </c>
      <c r="B14" s="11" t="inlineStr">
        <is>
          <t>Mois 10</t>
        </is>
      </c>
      <c r="C14" s="11" t="inlineStr">
        <is>
          <t>Mois 5</t>
        </is>
      </c>
      <c r="D14" s="11" t="inlineStr">
        <is>
          <t>Mois 3</t>
        </is>
      </c>
    </row>
    <row r="15">
      <c r="A15" s="5" t="inlineStr">
        <is>
          <t>Délai du Voyage à Fernando de Noronha (38k$)</t>
        </is>
      </c>
      <c r="B15" s="11" t="inlineStr">
        <is>
          <t>Mois 3</t>
        </is>
      </c>
      <c r="C15" s="11" t="inlineStr">
        <is>
          <t>Mois 2</t>
        </is>
      </c>
      <c r="D15" s="11" t="inlineStr">
        <is>
          <t>Mois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5" customWidth="1" min="2" max="2"/>
    <col width="18" customWidth="1" min="3" max="3"/>
    <col width="17" customWidth="1" min="4" max="4"/>
    <col width="24" customWidth="1" min="5" max="5"/>
    <col width="15" customWidth="1" min="6" max="6"/>
    <col width="19" customWidth="1" min="7" max="7"/>
    <col width="16" customWidth="1" min="8" max="8"/>
    <col width="24" customWidth="1" min="9" max="9"/>
    <col width="18" customWidth="1" min="10" max="10"/>
    <col width="26" customWidth="1" min="11" max="11"/>
    <col width="21" customWidth="1" min="12" max="12"/>
    <col width="25" customWidth="1" min="13" max="13"/>
    <col width="24" customWidth="1" min="14" max="14"/>
  </cols>
  <sheetData>
    <row r="1">
      <c r="A1" s="1" t="inlineStr">
        <is>
          <t>APEX CAPITAL — MODÈLE FINANCIER DÉTAILLÉ : SCÉNARIO 1 : CONSERVATEUR (SOLOPRENEUR)</t>
        </is>
      </c>
    </row>
    <row r="2">
      <c r="A2" s="12" t="inlineStr">
        <is>
          <t>Horizon Prévisionnel : Mois 1 à Mois 24 | Devise : CAD | Exonéré de TPS/TVQ</t>
        </is>
      </c>
    </row>
    <row r="3"/>
    <row r="4">
      <c r="A4" s="13" t="inlineStr">
        <is>
          <t>Mois</t>
        </is>
      </c>
      <c r="B4" s="13" t="inlineStr">
        <is>
          <t>Ad Spend ($)</t>
        </is>
      </c>
      <c r="C4" s="13" t="inlineStr">
        <is>
          <t>Leads Qualifiés</t>
        </is>
      </c>
      <c r="D4" s="13" t="inlineStr">
        <is>
          <t>Nouveaux Deals</t>
        </is>
      </c>
      <c r="E4" s="13" t="inlineStr">
        <is>
          <t>Renouvellements (LTV)</t>
        </is>
      </c>
      <c r="F4" s="13" t="inlineStr">
        <is>
          <t>Total Deals</t>
        </is>
      </c>
      <c r="G4" s="13" t="inlineStr">
        <is>
          <t>Volume Prêts ($)</t>
        </is>
      </c>
      <c r="H4" s="13" t="inlineStr">
        <is>
          <t>Mandat 5% ($)</t>
        </is>
      </c>
      <c r="I4" s="13" t="inlineStr">
        <is>
          <t>Com. Prêteur 1.5% ($)</t>
        </is>
      </c>
      <c r="J4" s="13" t="inlineStr">
        <is>
          <t>Revenu Brut ($)</t>
        </is>
      </c>
      <c r="K4" s="13" t="inlineStr">
        <is>
          <t>Commissions Closers ($)</t>
        </is>
      </c>
      <c r="L4" s="13" t="inlineStr">
        <is>
          <t>Outils &amp; Infra ($)</t>
        </is>
      </c>
      <c r="M4" s="13" t="inlineStr">
        <is>
          <t>PROFIT NET MENSUEL ($)</t>
        </is>
      </c>
      <c r="N4" s="13" t="inlineStr">
        <is>
          <t>PROFIT NET CUMULÉ ($)</t>
        </is>
      </c>
    </row>
    <row r="5">
      <c r="A5" s="14" t="inlineStr">
        <is>
          <t>Mois 01</t>
        </is>
      </c>
      <c r="B5" s="6" t="n">
        <v>1500</v>
      </c>
      <c r="C5" s="7" t="n">
        <v>15</v>
      </c>
      <c r="D5" s="7" t="n">
        <v>4</v>
      </c>
      <c r="E5" s="7" t="n">
        <v>0</v>
      </c>
      <c r="F5" s="7" t="n">
        <v>4</v>
      </c>
      <c r="G5" s="6" t="n">
        <v>232000</v>
      </c>
      <c r="H5" s="6" t="n">
        <v>11600</v>
      </c>
      <c r="I5" s="6" t="n">
        <v>3480</v>
      </c>
      <c r="J5" s="6" t="n">
        <v>15080</v>
      </c>
      <c r="K5" s="6" t="n">
        <v>0</v>
      </c>
      <c r="L5" s="6" t="n">
        <v>400</v>
      </c>
      <c r="M5" s="15" t="n">
        <v>13180</v>
      </c>
      <c r="N5" s="15" t="n">
        <v>13180</v>
      </c>
    </row>
    <row r="6">
      <c r="A6" s="14" t="inlineStr">
        <is>
          <t>Mois 02</t>
        </is>
      </c>
      <c r="B6" s="6" t="n">
        <v>1500</v>
      </c>
      <c r="C6" s="7" t="n">
        <v>15</v>
      </c>
      <c r="D6" s="7" t="n">
        <v>4</v>
      </c>
      <c r="E6" s="7" t="n">
        <v>0</v>
      </c>
      <c r="F6" s="7" t="n">
        <v>4</v>
      </c>
      <c r="G6" s="6" t="n">
        <v>232000</v>
      </c>
      <c r="H6" s="6" t="n">
        <v>11600</v>
      </c>
      <c r="I6" s="6" t="n">
        <v>3480</v>
      </c>
      <c r="J6" s="6" t="n">
        <v>15080</v>
      </c>
      <c r="K6" s="6" t="n">
        <v>0</v>
      </c>
      <c r="L6" s="6" t="n">
        <v>400</v>
      </c>
      <c r="M6" s="15" t="n">
        <v>13180</v>
      </c>
      <c r="N6" s="15" t="n">
        <v>26360</v>
      </c>
    </row>
    <row r="7">
      <c r="A7" s="14" t="inlineStr">
        <is>
          <t>Mois 03</t>
        </is>
      </c>
      <c r="B7" s="6" t="n">
        <v>2000</v>
      </c>
      <c r="C7" s="7" t="n">
        <v>19</v>
      </c>
      <c r="D7" s="7" t="n">
        <v>5</v>
      </c>
      <c r="E7" s="7" t="n">
        <v>0</v>
      </c>
      <c r="F7" s="7" t="n">
        <v>5</v>
      </c>
      <c r="G7" s="6" t="n">
        <v>290000</v>
      </c>
      <c r="H7" s="6" t="n">
        <v>14500</v>
      </c>
      <c r="I7" s="6" t="n">
        <v>4350</v>
      </c>
      <c r="J7" s="6" t="n">
        <v>18850</v>
      </c>
      <c r="K7" s="6" t="n">
        <v>0</v>
      </c>
      <c r="L7" s="6" t="n">
        <v>400</v>
      </c>
      <c r="M7" s="15" t="n">
        <v>16450</v>
      </c>
      <c r="N7" s="15" t="n">
        <v>42810</v>
      </c>
    </row>
    <row r="8">
      <c r="A8" s="14" t="inlineStr">
        <is>
          <t>Mois 04</t>
        </is>
      </c>
      <c r="B8" s="6" t="n">
        <v>2000</v>
      </c>
      <c r="C8" s="7" t="n">
        <v>19</v>
      </c>
      <c r="D8" s="7" t="n">
        <v>5</v>
      </c>
      <c r="E8" s="7" t="n">
        <v>0</v>
      </c>
      <c r="F8" s="7" t="n">
        <v>5</v>
      </c>
      <c r="G8" s="6" t="n">
        <v>290000</v>
      </c>
      <c r="H8" s="6" t="n">
        <v>14500</v>
      </c>
      <c r="I8" s="6" t="n">
        <v>4350</v>
      </c>
      <c r="J8" s="6" t="n">
        <v>18850</v>
      </c>
      <c r="K8" s="6" t="n">
        <v>0</v>
      </c>
      <c r="L8" s="6" t="n">
        <v>400</v>
      </c>
      <c r="M8" s="15" t="n">
        <v>16450</v>
      </c>
      <c r="N8" s="15" t="n">
        <v>59260</v>
      </c>
    </row>
    <row r="9">
      <c r="A9" s="14" t="inlineStr">
        <is>
          <t>Mois 05</t>
        </is>
      </c>
      <c r="B9" s="6" t="n">
        <v>3000</v>
      </c>
      <c r="C9" s="7" t="n">
        <v>22</v>
      </c>
      <c r="D9" s="7" t="n">
        <v>6</v>
      </c>
      <c r="E9" s="7" t="n">
        <v>0</v>
      </c>
      <c r="F9" s="7" t="n">
        <v>6</v>
      </c>
      <c r="G9" s="6" t="n">
        <v>348000</v>
      </c>
      <c r="H9" s="6" t="n">
        <v>17400</v>
      </c>
      <c r="I9" s="6" t="n">
        <v>5220</v>
      </c>
      <c r="J9" s="6" t="n">
        <v>22620</v>
      </c>
      <c r="K9" s="6" t="n">
        <v>0</v>
      </c>
      <c r="L9" s="6" t="n">
        <v>400</v>
      </c>
      <c r="M9" s="15" t="n">
        <v>19220</v>
      </c>
      <c r="N9" s="15" t="n">
        <v>78480</v>
      </c>
    </row>
    <row r="10">
      <c r="A10" s="14" t="inlineStr">
        <is>
          <t>Mois 06</t>
        </is>
      </c>
      <c r="B10" s="6" t="n">
        <v>3000</v>
      </c>
      <c r="C10" s="7" t="n">
        <v>22</v>
      </c>
      <c r="D10" s="7" t="n">
        <v>6</v>
      </c>
      <c r="E10" s="7" t="n">
        <v>0</v>
      </c>
      <c r="F10" s="7" t="n">
        <v>6</v>
      </c>
      <c r="G10" s="6" t="n">
        <v>348000</v>
      </c>
      <c r="H10" s="6" t="n">
        <v>17400</v>
      </c>
      <c r="I10" s="6" t="n">
        <v>5220</v>
      </c>
      <c r="J10" s="6" t="n">
        <v>22620</v>
      </c>
      <c r="K10" s="6" t="n">
        <v>0</v>
      </c>
      <c r="L10" s="6" t="n">
        <v>400</v>
      </c>
      <c r="M10" s="15" t="n">
        <v>19220</v>
      </c>
      <c r="N10" s="15" t="n">
        <v>97700</v>
      </c>
    </row>
    <row r="11">
      <c r="A11" s="14" t="inlineStr">
        <is>
          <t>Mois 07</t>
        </is>
      </c>
      <c r="B11" s="6" t="n">
        <v>3000</v>
      </c>
      <c r="C11" s="7" t="n">
        <v>22</v>
      </c>
      <c r="D11" s="7" t="n">
        <v>6</v>
      </c>
      <c r="E11" s="7" t="n">
        <v>1</v>
      </c>
      <c r="F11" s="7" t="n">
        <v>7</v>
      </c>
      <c r="G11" s="6" t="n">
        <v>406000</v>
      </c>
      <c r="H11" s="6" t="n">
        <v>20300</v>
      </c>
      <c r="I11" s="6" t="n">
        <v>6090</v>
      </c>
      <c r="J11" s="6" t="n">
        <v>26390</v>
      </c>
      <c r="K11" s="6" t="n">
        <v>0</v>
      </c>
      <c r="L11" s="6" t="n">
        <v>600</v>
      </c>
      <c r="M11" s="15" t="n">
        <v>22790</v>
      </c>
      <c r="N11" s="15" t="n">
        <v>120490</v>
      </c>
    </row>
    <row r="12">
      <c r="A12" s="14" t="inlineStr">
        <is>
          <t>Mois 08</t>
        </is>
      </c>
      <c r="B12" s="6" t="n">
        <v>3000</v>
      </c>
      <c r="C12" s="7" t="n">
        <v>22</v>
      </c>
      <c r="D12" s="7" t="n">
        <v>6</v>
      </c>
      <c r="E12" s="7" t="n">
        <v>1</v>
      </c>
      <c r="F12" s="7" t="n">
        <v>7</v>
      </c>
      <c r="G12" s="6" t="n">
        <v>406000</v>
      </c>
      <c r="H12" s="6" t="n">
        <v>20300</v>
      </c>
      <c r="I12" s="6" t="n">
        <v>6090</v>
      </c>
      <c r="J12" s="6" t="n">
        <v>26390</v>
      </c>
      <c r="K12" s="6" t="n">
        <v>0</v>
      </c>
      <c r="L12" s="6" t="n">
        <v>600</v>
      </c>
      <c r="M12" s="15" t="n">
        <v>22790</v>
      </c>
      <c r="N12" s="15" t="n">
        <v>143280</v>
      </c>
    </row>
    <row r="13">
      <c r="A13" s="14" t="inlineStr">
        <is>
          <t>Mois 09</t>
        </is>
      </c>
      <c r="B13" s="6" t="n">
        <v>3000</v>
      </c>
      <c r="C13" s="7" t="n">
        <v>22</v>
      </c>
      <c r="D13" s="7" t="n">
        <v>6</v>
      </c>
      <c r="E13" s="7" t="n">
        <v>1</v>
      </c>
      <c r="F13" s="7" t="n">
        <v>7</v>
      </c>
      <c r="G13" s="6" t="n">
        <v>406000</v>
      </c>
      <c r="H13" s="6" t="n">
        <v>20300</v>
      </c>
      <c r="I13" s="6" t="n">
        <v>6090</v>
      </c>
      <c r="J13" s="6" t="n">
        <v>26390</v>
      </c>
      <c r="K13" s="6" t="n">
        <v>0</v>
      </c>
      <c r="L13" s="6" t="n">
        <v>600</v>
      </c>
      <c r="M13" s="15" t="n">
        <v>22790</v>
      </c>
      <c r="N13" s="15" t="n">
        <v>166070</v>
      </c>
    </row>
    <row r="14">
      <c r="A14" s="14" t="inlineStr">
        <is>
          <t>Mois 10</t>
        </is>
      </c>
      <c r="B14" s="6" t="n">
        <v>3000</v>
      </c>
      <c r="C14" s="7" t="n">
        <v>22</v>
      </c>
      <c r="D14" s="7" t="n">
        <v>6</v>
      </c>
      <c r="E14" s="7" t="n">
        <v>1</v>
      </c>
      <c r="F14" s="7" t="n">
        <v>7</v>
      </c>
      <c r="G14" s="6" t="n">
        <v>406000</v>
      </c>
      <c r="H14" s="6" t="n">
        <v>20300</v>
      </c>
      <c r="I14" s="6" t="n">
        <v>6090</v>
      </c>
      <c r="J14" s="6" t="n">
        <v>26390</v>
      </c>
      <c r="K14" s="6" t="n">
        <v>0</v>
      </c>
      <c r="L14" s="6" t="n">
        <v>600</v>
      </c>
      <c r="M14" s="15" t="n">
        <v>22790</v>
      </c>
      <c r="N14" s="15" t="n">
        <v>188860</v>
      </c>
    </row>
    <row r="15">
      <c r="A15" s="14" t="inlineStr">
        <is>
          <t>Mois 11</t>
        </is>
      </c>
      <c r="B15" s="6" t="n">
        <v>3000</v>
      </c>
      <c r="C15" s="7" t="n">
        <v>22</v>
      </c>
      <c r="D15" s="7" t="n">
        <v>6</v>
      </c>
      <c r="E15" s="7" t="n">
        <v>1</v>
      </c>
      <c r="F15" s="7" t="n">
        <v>7</v>
      </c>
      <c r="G15" s="6" t="n">
        <v>406000</v>
      </c>
      <c r="H15" s="6" t="n">
        <v>20300</v>
      </c>
      <c r="I15" s="6" t="n">
        <v>6090</v>
      </c>
      <c r="J15" s="6" t="n">
        <v>26390</v>
      </c>
      <c r="K15" s="6" t="n">
        <v>0</v>
      </c>
      <c r="L15" s="6" t="n">
        <v>600</v>
      </c>
      <c r="M15" s="15" t="n">
        <v>22790</v>
      </c>
      <c r="N15" s="15" t="n">
        <v>211650</v>
      </c>
    </row>
    <row r="16">
      <c r="A16" s="14" t="inlineStr">
        <is>
          <t>Mois 12</t>
        </is>
      </c>
      <c r="B16" s="6" t="n">
        <v>3000</v>
      </c>
      <c r="C16" s="7" t="n">
        <v>22</v>
      </c>
      <c r="D16" s="7" t="n">
        <v>6</v>
      </c>
      <c r="E16" s="7" t="n">
        <v>1</v>
      </c>
      <c r="F16" s="7" t="n">
        <v>7</v>
      </c>
      <c r="G16" s="6" t="n">
        <v>406000</v>
      </c>
      <c r="H16" s="6" t="n">
        <v>20300</v>
      </c>
      <c r="I16" s="6" t="n">
        <v>6090</v>
      </c>
      <c r="J16" s="6" t="n">
        <v>26390</v>
      </c>
      <c r="K16" s="6" t="n">
        <v>0</v>
      </c>
      <c r="L16" s="6" t="n">
        <v>600</v>
      </c>
      <c r="M16" s="15" t="n">
        <v>22790</v>
      </c>
      <c r="N16" s="15" t="n">
        <v>234440</v>
      </c>
    </row>
    <row r="17">
      <c r="A17" s="14" t="inlineStr">
        <is>
          <t>Mois 13</t>
        </is>
      </c>
      <c r="B17" s="6" t="n">
        <v>3000</v>
      </c>
      <c r="C17" s="7" t="n">
        <v>22</v>
      </c>
      <c r="D17" s="7" t="n">
        <v>6</v>
      </c>
      <c r="E17" s="7" t="n">
        <v>2</v>
      </c>
      <c r="F17" s="7" t="n">
        <v>8</v>
      </c>
      <c r="G17" s="6" t="n">
        <v>464000</v>
      </c>
      <c r="H17" s="6" t="n">
        <v>23200</v>
      </c>
      <c r="I17" s="6" t="n">
        <v>6960</v>
      </c>
      <c r="J17" s="6" t="n">
        <v>30160</v>
      </c>
      <c r="K17" s="6" t="n">
        <v>0</v>
      </c>
      <c r="L17" s="6" t="n">
        <v>1000</v>
      </c>
      <c r="M17" s="15" t="n">
        <v>26160</v>
      </c>
      <c r="N17" s="15" t="n">
        <v>260600</v>
      </c>
    </row>
    <row r="18">
      <c r="A18" s="14" t="inlineStr">
        <is>
          <t>Mois 14</t>
        </is>
      </c>
      <c r="B18" s="6" t="n">
        <v>3000</v>
      </c>
      <c r="C18" s="7" t="n">
        <v>22</v>
      </c>
      <c r="D18" s="7" t="n">
        <v>6</v>
      </c>
      <c r="E18" s="7" t="n">
        <v>2</v>
      </c>
      <c r="F18" s="7" t="n">
        <v>8</v>
      </c>
      <c r="G18" s="6" t="n">
        <v>464000</v>
      </c>
      <c r="H18" s="6" t="n">
        <v>23200</v>
      </c>
      <c r="I18" s="6" t="n">
        <v>6960</v>
      </c>
      <c r="J18" s="6" t="n">
        <v>30160</v>
      </c>
      <c r="K18" s="6" t="n">
        <v>0</v>
      </c>
      <c r="L18" s="6" t="n">
        <v>1000</v>
      </c>
      <c r="M18" s="15" t="n">
        <v>26160</v>
      </c>
      <c r="N18" s="15" t="n">
        <v>286760</v>
      </c>
    </row>
    <row r="19">
      <c r="A19" s="14" t="inlineStr">
        <is>
          <t>Mois 15</t>
        </is>
      </c>
      <c r="B19" s="6" t="n">
        <v>3000</v>
      </c>
      <c r="C19" s="7" t="n">
        <v>22</v>
      </c>
      <c r="D19" s="7" t="n">
        <v>6</v>
      </c>
      <c r="E19" s="7" t="n">
        <v>2</v>
      </c>
      <c r="F19" s="7" t="n">
        <v>8</v>
      </c>
      <c r="G19" s="6" t="n">
        <v>464000</v>
      </c>
      <c r="H19" s="6" t="n">
        <v>23200</v>
      </c>
      <c r="I19" s="6" t="n">
        <v>6960</v>
      </c>
      <c r="J19" s="6" t="n">
        <v>30160</v>
      </c>
      <c r="K19" s="6" t="n">
        <v>0</v>
      </c>
      <c r="L19" s="6" t="n">
        <v>1000</v>
      </c>
      <c r="M19" s="15" t="n">
        <v>26160</v>
      </c>
      <c r="N19" s="15" t="n">
        <v>312920</v>
      </c>
    </row>
    <row r="20">
      <c r="A20" s="14" t="inlineStr">
        <is>
          <t>Mois 16</t>
        </is>
      </c>
      <c r="B20" s="6" t="n">
        <v>3000</v>
      </c>
      <c r="C20" s="7" t="n">
        <v>22</v>
      </c>
      <c r="D20" s="7" t="n">
        <v>6</v>
      </c>
      <c r="E20" s="7" t="n">
        <v>2</v>
      </c>
      <c r="F20" s="7" t="n">
        <v>8</v>
      </c>
      <c r="G20" s="6" t="n">
        <v>464000</v>
      </c>
      <c r="H20" s="6" t="n">
        <v>23200</v>
      </c>
      <c r="I20" s="6" t="n">
        <v>6960</v>
      </c>
      <c r="J20" s="6" t="n">
        <v>30160</v>
      </c>
      <c r="K20" s="6" t="n">
        <v>0</v>
      </c>
      <c r="L20" s="6" t="n">
        <v>1000</v>
      </c>
      <c r="M20" s="15" t="n">
        <v>26160</v>
      </c>
      <c r="N20" s="15" t="n">
        <v>339080</v>
      </c>
    </row>
    <row r="21">
      <c r="A21" s="14" t="inlineStr">
        <is>
          <t>Mois 17</t>
        </is>
      </c>
      <c r="B21" s="6" t="n">
        <v>3000</v>
      </c>
      <c r="C21" s="7" t="n">
        <v>22</v>
      </c>
      <c r="D21" s="7" t="n">
        <v>6</v>
      </c>
      <c r="E21" s="7" t="n">
        <v>2</v>
      </c>
      <c r="F21" s="7" t="n">
        <v>8</v>
      </c>
      <c r="G21" s="6" t="n">
        <v>464000</v>
      </c>
      <c r="H21" s="6" t="n">
        <v>23200</v>
      </c>
      <c r="I21" s="6" t="n">
        <v>6960</v>
      </c>
      <c r="J21" s="6" t="n">
        <v>30160</v>
      </c>
      <c r="K21" s="6" t="n">
        <v>0</v>
      </c>
      <c r="L21" s="6" t="n">
        <v>1000</v>
      </c>
      <c r="M21" s="15" t="n">
        <v>26160</v>
      </c>
      <c r="N21" s="15" t="n">
        <v>365240</v>
      </c>
    </row>
    <row r="22">
      <c r="A22" s="14" t="inlineStr">
        <is>
          <t>Mois 18</t>
        </is>
      </c>
      <c r="B22" s="6" t="n">
        <v>3000</v>
      </c>
      <c r="C22" s="7" t="n">
        <v>22</v>
      </c>
      <c r="D22" s="7" t="n">
        <v>6</v>
      </c>
      <c r="E22" s="7" t="n">
        <v>2</v>
      </c>
      <c r="F22" s="7" t="n">
        <v>8</v>
      </c>
      <c r="G22" s="6" t="n">
        <v>464000</v>
      </c>
      <c r="H22" s="6" t="n">
        <v>23200</v>
      </c>
      <c r="I22" s="6" t="n">
        <v>6960</v>
      </c>
      <c r="J22" s="6" t="n">
        <v>30160</v>
      </c>
      <c r="K22" s="6" t="n">
        <v>0</v>
      </c>
      <c r="L22" s="6" t="n">
        <v>1000</v>
      </c>
      <c r="M22" s="15" t="n">
        <v>26160</v>
      </c>
      <c r="N22" s="15" t="n">
        <v>391400</v>
      </c>
    </row>
    <row r="23">
      <c r="A23" s="14" t="inlineStr">
        <is>
          <t>Mois 19</t>
        </is>
      </c>
      <c r="B23" s="6" t="n">
        <v>3000</v>
      </c>
      <c r="C23" s="7" t="n">
        <v>22</v>
      </c>
      <c r="D23" s="7" t="n">
        <v>6</v>
      </c>
      <c r="E23" s="7" t="n">
        <v>2</v>
      </c>
      <c r="F23" s="7" t="n">
        <v>8</v>
      </c>
      <c r="G23" s="6" t="n">
        <v>464000</v>
      </c>
      <c r="H23" s="6" t="n">
        <v>23200</v>
      </c>
      <c r="I23" s="6" t="n">
        <v>6960</v>
      </c>
      <c r="J23" s="6" t="n">
        <v>30160</v>
      </c>
      <c r="K23" s="6" t="n">
        <v>0</v>
      </c>
      <c r="L23" s="6" t="n">
        <v>1000</v>
      </c>
      <c r="M23" s="15" t="n">
        <v>26160</v>
      </c>
      <c r="N23" s="15" t="n">
        <v>417560</v>
      </c>
    </row>
    <row r="24">
      <c r="A24" s="14" t="inlineStr">
        <is>
          <t>Mois 20</t>
        </is>
      </c>
      <c r="B24" s="6" t="n">
        <v>3000</v>
      </c>
      <c r="C24" s="7" t="n">
        <v>22</v>
      </c>
      <c r="D24" s="7" t="n">
        <v>6</v>
      </c>
      <c r="E24" s="7" t="n">
        <v>2</v>
      </c>
      <c r="F24" s="7" t="n">
        <v>8</v>
      </c>
      <c r="G24" s="6" t="n">
        <v>464000</v>
      </c>
      <c r="H24" s="6" t="n">
        <v>23200</v>
      </c>
      <c r="I24" s="6" t="n">
        <v>6960</v>
      </c>
      <c r="J24" s="6" t="n">
        <v>30160</v>
      </c>
      <c r="K24" s="6" t="n">
        <v>0</v>
      </c>
      <c r="L24" s="6" t="n">
        <v>1000</v>
      </c>
      <c r="M24" s="15" t="n">
        <v>26160</v>
      </c>
      <c r="N24" s="15" t="n">
        <v>443720</v>
      </c>
    </row>
    <row r="25">
      <c r="A25" s="14" t="inlineStr">
        <is>
          <t>Mois 21</t>
        </is>
      </c>
      <c r="B25" s="6" t="n">
        <v>3000</v>
      </c>
      <c r="C25" s="7" t="n">
        <v>22</v>
      </c>
      <c r="D25" s="7" t="n">
        <v>6</v>
      </c>
      <c r="E25" s="7" t="n">
        <v>3</v>
      </c>
      <c r="F25" s="7" t="n">
        <v>9</v>
      </c>
      <c r="G25" s="6" t="n">
        <v>522000</v>
      </c>
      <c r="H25" s="6" t="n">
        <v>26100</v>
      </c>
      <c r="I25" s="6" t="n">
        <v>7830</v>
      </c>
      <c r="J25" s="6" t="n">
        <v>33930</v>
      </c>
      <c r="K25" s="6" t="n">
        <v>0</v>
      </c>
      <c r="L25" s="6" t="n">
        <v>1000</v>
      </c>
      <c r="M25" s="15" t="n">
        <v>29930</v>
      </c>
      <c r="N25" s="15" t="n">
        <v>473650</v>
      </c>
    </row>
    <row r="26">
      <c r="A26" s="14" t="inlineStr">
        <is>
          <t>Mois 22</t>
        </is>
      </c>
      <c r="B26" s="6" t="n">
        <v>3000</v>
      </c>
      <c r="C26" s="7" t="n">
        <v>22</v>
      </c>
      <c r="D26" s="7" t="n">
        <v>6</v>
      </c>
      <c r="E26" s="7" t="n">
        <v>3</v>
      </c>
      <c r="F26" s="7" t="n">
        <v>9</v>
      </c>
      <c r="G26" s="6" t="n">
        <v>522000</v>
      </c>
      <c r="H26" s="6" t="n">
        <v>26100</v>
      </c>
      <c r="I26" s="6" t="n">
        <v>7830</v>
      </c>
      <c r="J26" s="6" t="n">
        <v>33930</v>
      </c>
      <c r="K26" s="6" t="n">
        <v>0</v>
      </c>
      <c r="L26" s="6" t="n">
        <v>1000</v>
      </c>
      <c r="M26" s="15" t="n">
        <v>29930</v>
      </c>
      <c r="N26" s="15" t="n">
        <v>503580</v>
      </c>
    </row>
    <row r="27">
      <c r="A27" s="14" t="inlineStr">
        <is>
          <t>Mois 23</t>
        </is>
      </c>
      <c r="B27" s="6" t="n">
        <v>3000</v>
      </c>
      <c r="C27" s="7" t="n">
        <v>22</v>
      </c>
      <c r="D27" s="7" t="n">
        <v>6</v>
      </c>
      <c r="E27" s="7" t="n">
        <v>3</v>
      </c>
      <c r="F27" s="7" t="n">
        <v>9</v>
      </c>
      <c r="G27" s="6" t="n">
        <v>522000</v>
      </c>
      <c r="H27" s="6" t="n">
        <v>26100</v>
      </c>
      <c r="I27" s="6" t="n">
        <v>7830</v>
      </c>
      <c r="J27" s="6" t="n">
        <v>33930</v>
      </c>
      <c r="K27" s="6" t="n">
        <v>0</v>
      </c>
      <c r="L27" s="6" t="n">
        <v>1000</v>
      </c>
      <c r="M27" s="15" t="n">
        <v>29930</v>
      </c>
      <c r="N27" s="15" t="n">
        <v>533510</v>
      </c>
    </row>
    <row r="28">
      <c r="A28" s="14" t="inlineStr">
        <is>
          <t>Mois 24</t>
        </is>
      </c>
      <c r="B28" s="6" t="n">
        <v>3000</v>
      </c>
      <c r="C28" s="7" t="n">
        <v>22</v>
      </c>
      <c r="D28" s="7" t="n">
        <v>6</v>
      </c>
      <c r="E28" s="7" t="n">
        <v>3</v>
      </c>
      <c r="F28" s="7" t="n">
        <v>9</v>
      </c>
      <c r="G28" s="6" t="n">
        <v>522000</v>
      </c>
      <c r="H28" s="6" t="n">
        <v>26100</v>
      </c>
      <c r="I28" s="6" t="n">
        <v>7830</v>
      </c>
      <c r="J28" s="6" t="n">
        <v>33930</v>
      </c>
      <c r="K28" s="6" t="n">
        <v>0</v>
      </c>
      <c r="L28" s="6" t="n">
        <v>1000</v>
      </c>
      <c r="M28" s="15" t="n">
        <v>29930</v>
      </c>
      <c r="N28" s="15" t="n">
        <v>563440</v>
      </c>
    </row>
    <row r="29">
      <c r="A29" s="16" t="inlineStr">
        <is>
          <t>TOTAL 24 MOIS</t>
        </is>
      </c>
      <c r="B29" s="17">
        <f>SUM(B5:B28)</f>
        <v/>
      </c>
      <c r="C29" s="18">
        <f>SUM(C5:C28)</f>
        <v/>
      </c>
      <c r="D29" s="18">
        <f>SUM(D5:D28)</f>
        <v/>
      </c>
      <c r="E29" s="18">
        <f>SUM(E5:E28)</f>
        <v/>
      </c>
      <c r="F29" s="18">
        <f>SUM(F5:F28)</f>
        <v/>
      </c>
      <c r="G29" s="17">
        <f>SUM(G5:G28)</f>
        <v/>
      </c>
      <c r="H29" s="17">
        <f>SUM(H5:H28)</f>
        <v/>
      </c>
      <c r="I29" s="17">
        <f>SUM(I5:I28)</f>
        <v/>
      </c>
      <c r="J29" s="17">
        <f>SUM(J5:J28)</f>
        <v/>
      </c>
      <c r="K29" s="17">
        <f>SUM(K5:K28)</f>
        <v/>
      </c>
      <c r="L29" s="17">
        <f>SUM(L5:L28)</f>
        <v/>
      </c>
      <c r="M29" s="17">
        <f>SUM(M5:M28)</f>
        <v/>
      </c>
      <c r="N29" s="17">
        <f>N28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15" customWidth="1" min="2" max="2"/>
    <col width="18" customWidth="1" min="3" max="3"/>
    <col width="17" customWidth="1" min="4" max="4"/>
    <col width="24" customWidth="1" min="5" max="5"/>
    <col width="15" customWidth="1" min="6" max="6"/>
    <col width="19" customWidth="1" min="7" max="7"/>
    <col width="16" customWidth="1" min="8" max="8"/>
    <col width="24" customWidth="1" min="9" max="9"/>
    <col width="18" customWidth="1" min="10" max="10"/>
    <col width="26" customWidth="1" min="11" max="11"/>
    <col width="21" customWidth="1" min="12" max="12"/>
    <col width="25" customWidth="1" min="13" max="13"/>
    <col width="24" customWidth="1" min="14" max="14"/>
  </cols>
  <sheetData>
    <row r="1">
      <c r="A1" s="1" t="inlineStr">
        <is>
          <t>APEX CAPITAL — MODÈLE FINANCIER DÉTAILLÉ : SCÉNARIO 2 : CIBLE RÉALISTE (TAHA + 1 CLOSER EX-TD)</t>
        </is>
      </c>
    </row>
    <row r="2">
      <c r="A2" s="12" t="inlineStr">
        <is>
          <t>Horizon Prévisionnel : Mois 1 à Mois 24 | Devise : CAD | Exonéré de TPS/TVQ</t>
        </is>
      </c>
    </row>
    <row r="3"/>
    <row r="4">
      <c r="A4" s="13" t="inlineStr">
        <is>
          <t>Mois</t>
        </is>
      </c>
      <c r="B4" s="13" t="inlineStr">
        <is>
          <t>Ad Spend ($)</t>
        </is>
      </c>
      <c r="C4" s="13" t="inlineStr">
        <is>
          <t>Leads Qualifiés</t>
        </is>
      </c>
      <c r="D4" s="13" t="inlineStr">
        <is>
          <t>Nouveaux Deals</t>
        </is>
      </c>
      <c r="E4" s="13" t="inlineStr">
        <is>
          <t>Renouvellements (LTV)</t>
        </is>
      </c>
      <c r="F4" s="13" t="inlineStr">
        <is>
          <t>Total Deals</t>
        </is>
      </c>
      <c r="G4" s="13" t="inlineStr">
        <is>
          <t>Volume Prêts ($)</t>
        </is>
      </c>
      <c r="H4" s="13" t="inlineStr">
        <is>
          <t>Mandat 5% ($)</t>
        </is>
      </c>
      <c r="I4" s="13" t="inlineStr">
        <is>
          <t>Com. Prêteur 1.5% ($)</t>
        </is>
      </c>
      <c r="J4" s="13" t="inlineStr">
        <is>
          <t>Revenu Brut ($)</t>
        </is>
      </c>
      <c r="K4" s="13" t="inlineStr">
        <is>
          <t>Commissions Closers ($)</t>
        </is>
      </c>
      <c r="L4" s="13" t="inlineStr">
        <is>
          <t>Outils &amp; Infra ($)</t>
        </is>
      </c>
      <c r="M4" s="13" t="inlineStr">
        <is>
          <t>PROFIT NET MENSUEL ($)</t>
        </is>
      </c>
      <c r="N4" s="13" t="inlineStr">
        <is>
          <t>PROFIT NET CUMULÉ ($)</t>
        </is>
      </c>
    </row>
    <row r="5">
      <c r="A5" s="14" t="inlineStr">
        <is>
          <t>Mois 01</t>
        </is>
      </c>
      <c r="B5" s="6" t="n">
        <v>1500</v>
      </c>
      <c r="C5" s="7" t="n">
        <v>19</v>
      </c>
      <c r="D5" s="7" t="n">
        <v>5</v>
      </c>
      <c r="E5" s="7" t="n">
        <v>0</v>
      </c>
      <c r="F5" s="7" t="n">
        <v>5</v>
      </c>
      <c r="G5" s="6" t="n">
        <v>290000</v>
      </c>
      <c r="H5" s="6" t="n">
        <v>14500</v>
      </c>
      <c r="I5" s="6" t="n">
        <v>4350</v>
      </c>
      <c r="J5" s="6" t="n">
        <v>18850</v>
      </c>
      <c r="K5" s="6" t="n">
        <v>5000</v>
      </c>
      <c r="L5" s="6" t="n">
        <v>400</v>
      </c>
      <c r="M5" s="15" t="n">
        <v>11950</v>
      </c>
      <c r="N5" s="15" t="n">
        <v>11950</v>
      </c>
    </row>
    <row r="6">
      <c r="A6" s="14" t="inlineStr">
        <is>
          <t>Mois 02</t>
        </is>
      </c>
      <c r="B6" s="6" t="n">
        <v>3000</v>
      </c>
      <c r="C6" s="7" t="n">
        <v>30</v>
      </c>
      <c r="D6" s="7" t="n">
        <v>8</v>
      </c>
      <c r="E6" s="7" t="n">
        <v>0</v>
      </c>
      <c r="F6" s="7" t="n">
        <v>8</v>
      </c>
      <c r="G6" s="6" t="n">
        <v>464000</v>
      </c>
      <c r="H6" s="6" t="n">
        <v>23200</v>
      </c>
      <c r="I6" s="6" t="n">
        <v>6960</v>
      </c>
      <c r="J6" s="6" t="n">
        <v>30160</v>
      </c>
      <c r="K6" s="6" t="n">
        <v>8000</v>
      </c>
      <c r="L6" s="6" t="n">
        <v>400</v>
      </c>
      <c r="M6" s="15" t="n">
        <v>18760</v>
      </c>
      <c r="N6" s="15" t="n">
        <v>30710</v>
      </c>
    </row>
    <row r="7">
      <c r="A7" s="14" t="inlineStr">
        <is>
          <t>Mois 03</t>
        </is>
      </c>
      <c r="B7" s="6" t="n">
        <v>4500</v>
      </c>
      <c r="C7" s="7" t="n">
        <v>38</v>
      </c>
      <c r="D7" s="7" t="n">
        <v>10</v>
      </c>
      <c r="E7" s="7" t="n">
        <v>0</v>
      </c>
      <c r="F7" s="7" t="n">
        <v>10</v>
      </c>
      <c r="G7" s="6" t="n">
        <v>580000</v>
      </c>
      <c r="H7" s="6" t="n">
        <v>29000</v>
      </c>
      <c r="I7" s="6" t="n">
        <v>8700</v>
      </c>
      <c r="J7" s="6" t="n">
        <v>37700</v>
      </c>
      <c r="K7" s="6" t="n">
        <v>10000</v>
      </c>
      <c r="L7" s="6" t="n">
        <v>400</v>
      </c>
      <c r="M7" s="15" t="n">
        <v>22800</v>
      </c>
      <c r="N7" s="15" t="n">
        <v>53510</v>
      </c>
    </row>
    <row r="8">
      <c r="A8" s="14" t="inlineStr">
        <is>
          <t>Mois 04</t>
        </is>
      </c>
      <c r="B8" s="6" t="n">
        <v>5000</v>
      </c>
      <c r="C8" s="7" t="n">
        <v>45</v>
      </c>
      <c r="D8" s="7" t="n">
        <v>12</v>
      </c>
      <c r="E8" s="7" t="n">
        <v>0</v>
      </c>
      <c r="F8" s="7" t="n">
        <v>12</v>
      </c>
      <c r="G8" s="6" t="n">
        <v>696000</v>
      </c>
      <c r="H8" s="6" t="n">
        <v>34800</v>
      </c>
      <c r="I8" s="6" t="n">
        <v>10440</v>
      </c>
      <c r="J8" s="6" t="n">
        <v>45240</v>
      </c>
      <c r="K8" s="6" t="n">
        <v>12000</v>
      </c>
      <c r="L8" s="6" t="n">
        <v>400</v>
      </c>
      <c r="M8" s="15" t="n">
        <v>27840</v>
      </c>
      <c r="N8" s="15" t="n">
        <v>81350</v>
      </c>
    </row>
    <row r="9">
      <c r="A9" s="14" t="inlineStr">
        <is>
          <t>Mois 05</t>
        </is>
      </c>
      <c r="B9" s="6" t="n">
        <v>6000</v>
      </c>
      <c r="C9" s="7" t="n">
        <v>53</v>
      </c>
      <c r="D9" s="7" t="n">
        <v>14</v>
      </c>
      <c r="E9" s="7" t="n">
        <v>0</v>
      </c>
      <c r="F9" s="7" t="n">
        <v>14</v>
      </c>
      <c r="G9" s="6" t="n">
        <v>812000</v>
      </c>
      <c r="H9" s="6" t="n">
        <v>40600</v>
      </c>
      <c r="I9" s="6" t="n">
        <v>12180</v>
      </c>
      <c r="J9" s="6" t="n">
        <v>52780</v>
      </c>
      <c r="K9" s="6" t="n">
        <v>14000</v>
      </c>
      <c r="L9" s="6" t="n">
        <v>400</v>
      </c>
      <c r="M9" s="15" t="n">
        <v>32380</v>
      </c>
      <c r="N9" s="15" t="n">
        <v>113730</v>
      </c>
    </row>
    <row r="10">
      <c r="A10" s="14" t="inlineStr">
        <is>
          <t>Mois 06</t>
        </is>
      </c>
      <c r="B10" s="6" t="n">
        <v>6000</v>
      </c>
      <c r="C10" s="7" t="n">
        <v>53</v>
      </c>
      <c r="D10" s="7" t="n">
        <v>14</v>
      </c>
      <c r="E10" s="7" t="n">
        <v>0</v>
      </c>
      <c r="F10" s="7" t="n">
        <v>14</v>
      </c>
      <c r="G10" s="6" t="n">
        <v>812000</v>
      </c>
      <c r="H10" s="6" t="n">
        <v>40600</v>
      </c>
      <c r="I10" s="6" t="n">
        <v>12180</v>
      </c>
      <c r="J10" s="6" t="n">
        <v>52780</v>
      </c>
      <c r="K10" s="6" t="n">
        <v>14000</v>
      </c>
      <c r="L10" s="6" t="n">
        <v>400</v>
      </c>
      <c r="M10" s="15" t="n">
        <v>32380</v>
      </c>
      <c r="N10" s="15" t="n">
        <v>146110</v>
      </c>
    </row>
    <row r="11">
      <c r="A11" s="14" t="inlineStr">
        <is>
          <t>Mois 07</t>
        </is>
      </c>
      <c r="B11" s="6" t="n">
        <v>6000</v>
      </c>
      <c r="C11" s="7" t="n">
        <v>57</v>
      </c>
      <c r="D11" s="7" t="n">
        <v>15</v>
      </c>
      <c r="E11" s="7" t="n">
        <v>1</v>
      </c>
      <c r="F11" s="7" t="n">
        <v>16</v>
      </c>
      <c r="G11" s="6" t="n">
        <v>928000</v>
      </c>
      <c r="H11" s="6" t="n">
        <v>46400</v>
      </c>
      <c r="I11" s="6" t="n">
        <v>13920</v>
      </c>
      <c r="J11" s="6" t="n">
        <v>60320</v>
      </c>
      <c r="K11" s="6" t="n">
        <v>15000</v>
      </c>
      <c r="L11" s="6" t="n">
        <v>600</v>
      </c>
      <c r="M11" s="15" t="n">
        <v>38720</v>
      </c>
      <c r="N11" s="15" t="n">
        <v>184830</v>
      </c>
    </row>
    <row r="12">
      <c r="A12" s="14" t="inlineStr">
        <is>
          <t>Mois 08</t>
        </is>
      </c>
      <c r="B12" s="6" t="n">
        <v>6000</v>
      </c>
      <c r="C12" s="7" t="n">
        <v>57</v>
      </c>
      <c r="D12" s="7" t="n">
        <v>15</v>
      </c>
      <c r="E12" s="7" t="n">
        <v>2</v>
      </c>
      <c r="F12" s="7" t="n">
        <v>17</v>
      </c>
      <c r="G12" s="6" t="n">
        <v>986000</v>
      </c>
      <c r="H12" s="6" t="n">
        <v>49300</v>
      </c>
      <c r="I12" s="6" t="n">
        <v>14790</v>
      </c>
      <c r="J12" s="6" t="n">
        <v>64090</v>
      </c>
      <c r="K12" s="6" t="n">
        <v>15000</v>
      </c>
      <c r="L12" s="6" t="n">
        <v>600</v>
      </c>
      <c r="M12" s="15" t="n">
        <v>42490</v>
      </c>
      <c r="N12" s="15" t="n">
        <v>227320</v>
      </c>
    </row>
    <row r="13">
      <c r="A13" s="14" t="inlineStr">
        <is>
          <t>Mois 09</t>
        </is>
      </c>
      <c r="B13" s="6" t="n">
        <v>6000</v>
      </c>
      <c r="C13" s="7" t="n">
        <v>60</v>
      </c>
      <c r="D13" s="7" t="n">
        <v>16</v>
      </c>
      <c r="E13" s="7" t="n">
        <v>3</v>
      </c>
      <c r="F13" s="7" t="n">
        <v>19</v>
      </c>
      <c r="G13" s="6" t="n">
        <v>1102000</v>
      </c>
      <c r="H13" s="6" t="n">
        <v>55100</v>
      </c>
      <c r="I13" s="6" t="n">
        <v>16530</v>
      </c>
      <c r="J13" s="6" t="n">
        <v>71630</v>
      </c>
      <c r="K13" s="6" t="n">
        <v>16000</v>
      </c>
      <c r="L13" s="6" t="n">
        <v>600</v>
      </c>
      <c r="M13" s="15" t="n">
        <v>49030</v>
      </c>
      <c r="N13" s="15" t="n">
        <v>276350</v>
      </c>
    </row>
    <row r="14">
      <c r="A14" s="14" t="inlineStr">
        <is>
          <t>Mois 10</t>
        </is>
      </c>
      <c r="B14" s="6" t="n">
        <v>6000</v>
      </c>
      <c r="C14" s="7" t="n">
        <v>60</v>
      </c>
      <c r="D14" s="7" t="n">
        <v>16</v>
      </c>
      <c r="E14" s="7" t="n">
        <v>3</v>
      </c>
      <c r="F14" s="7" t="n">
        <v>19</v>
      </c>
      <c r="G14" s="6" t="n">
        <v>1102000</v>
      </c>
      <c r="H14" s="6" t="n">
        <v>55100</v>
      </c>
      <c r="I14" s="6" t="n">
        <v>16530</v>
      </c>
      <c r="J14" s="6" t="n">
        <v>71630</v>
      </c>
      <c r="K14" s="6" t="n">
        <v>16000</v>
      </c>
      <c r="L14" s="6" t="n">
        <v>600</v>
      </c>
      <c r="M14" s="15" t="n">
        <v>49030</v>
      </c>
      <c r="N14" s="15" t="n">
        <v>325380</v>
      </c>
    </row>
    <row r="15">
      <c r="A15" s="14" t="inlineStr">
        <is>
          <t>Mois 11</t>
        </is>
      </c>
      <c r="B15" s="6" t="n">
        <v>6000</v>
      </c>
      <c r="C15" s="7" t="n">
        <v>60</v>
      </c>
      <c r="D15" s="7" t="n">
        <v>16</v>
      </c>
      <c r="E15" s="7" t="n">
        <v>4</v>
      </c>
      <c r="F15" s="7" t="n">
        <v>20</v>
      </c>
      <c r="G15" s="6" t="n">
        <v>1160000</v>
      </c>
      <c r="H15" s="6" t="n">
        <v>58000</v>
      </c>
      <c r="I15" s="6" t="n">
        <v>17400</v>
      </c>
      <c r="J15" s="6" t="n">
        <v>75400</v>
      </c>
      <c r="K15" s="6" t="n">
        <v>16000</v>
      </c>
      <c r="L15" s="6" t="n">
        <v>600</v>
      </c>
      <c r="M15" s="15" t="n">
        <v>52800</v>
      </c>
      <c r="N15" s="15" t="n">
        <v>378180</v>
      </c>
    </row>
    <row r="16">
      <c r="A16" s="14" t="inlineStr">
        <is>
          <t>Mois 12</t>
        </is>
      </c>
      <c r="B16" s="6" t="n">
        <v>6000</v>
      </c>
      <c r="C16" s="7" t="n">
        <v>60</v>
      </c>
      <c r="D16" s="7" t="n">
        <v>16</v>
      </c>
      <c r="E16" s="7" t="n">
        <v>4</v>
      </c>
      <c r="F16" s="7" t="n">
        <v>20</v>
      </c>
      <c r="G16" s="6" t="n">
        <v>1160000</v>
      </c>
      <c r="H16" s="6" t="n">
        <v>58000</v>
      </c>
      <c r="I16" s="6" t="n">
        <v>17400</v>
      </c>
      <c r="J16" s="6" t="n">
        <v>75400</v>
      </c>
      <c r="K16" s="6" t="n">
        <v>16000</v>
      </c>
      <c r="L16" s="6" t="n">
        <v>600</v>
      </c>
      <c r="M16" s="15" t="n">
        <v>52800</v>
      </c>
      <c r="N16" s="15" t="n">
        <v>430980</v>
      </c>
    </row>
    <row r="17">
      <c r="A17" s="14" t="inlineStr">
        <is>
          <t>Mois 13</t>
        </is>
      </c>
      <c r="B17" s="6" t="n">
        <v>6000</v>
      </c>
      <c r="C17" s="7" t="n">
        <v>60</v>
      </c>
      <c r="D17" s="7" t="n">
        <v>16</v>
      </c>
      <c r="E17" s="7" t="n">
        <v>5</v>
      </c>
      <c r="F17" s="7" t="n">
        <v>21</v>
      </c>
      <c r="G17" s="6" t="n">
        <v>1218000</v>
      </c>
      <c r="H17" s="6" t="n">
        <v>60900</v>
      </c>
      <c r="I17" s="6" t="n">
        <v>18270</v>
      </c>
      <c r="J17" s="6" t="n">
        <v>79170</v>
      </c>
      <c r="K17" s="6" t="n">
        <v>16000</v>
      </c>
      <c r="L17" s="6" t="n">
        <v>1000</v>
      </c>
      <c r="M17" s="15" t="n">
        <v>56170</v>
      </c>
      <c r="N17" s="15" t="n">
        <v>487150</v>
      </c>
    </row>
    <row r="18">
      <c r="A18" s="14" t="inlineStr">
        <is>
          <t>Mois 14</t>
        </is>
      </c>
      <c r="B18" s="6" t="n">
        <v>6000</v>
      </c>
      <c r="C18" s="7" t="n">
        <v>60</v>
      </c>
      <c r="D18" s="7" t="n">
        <v>16</v>
      </c>
      <c r="E18" s="7" t="n">
        <v>6</v>
      </c>
      <c r="F18" s="7" t="n">
        <v>22</v>
      </c>
      <c r="G18" s="6" t="n">
        <v>1276000</v>
      </c>
      <c r="H18" s="6" t="n">
        <v>63800</v>
      </c>
      <c r="I18" s="6" t="n">
        <v>19140</v>
      </c>
      <c r="J18" s="6" t="n">
        <v>82940</v>
      </c>
      <c r="K18" s="6" t="n">
        <v>16000</v>
      </c>
      <c r="L18" s="6" t="n">
        <v>1000</v>
      </c>
      <c r="M18" s="15" t="n">
        <v>59940</v>
      </c>
      <c r="N18" s="15" t="n">
        <v>547090</v>
      </c>
    </row>
    <row r="19">
      <c r="A19" s="14" t="inlineStr">
        <is>
          <t>Mois 15</t>
        </is>
      </c>
      <c r="B19" s="6" t="n">
        <v>6000</v>
      </c>
      <c r="C19" s="7" t="n">
        <v>60</v>
      </c>
      <c r="D19" s="7" t="n">
        <v>16</v>
      </c>
      <c r="E19" s="7" t="n">
        <v>6</v>
      </c>
      <c r="F19" s="7" t="n">
        <v>22</v>
      </c>
      <c r="G19" s="6" t="n">
        <v>1276000</v>
      </c>
      <c r="H19" s="6" t="n">
        <v>63800</v>
      </c>
      <c r="I19" s="6" t="n">
        <v>19140</v>
      </c>
      <c r="J19" s="6" t="n">
        <v>82940</v>
      </c>
      <c r="K19" s="6" t="n">
        <v>16000</v>
      </c>
      <c r="L19" s="6" t="n">
        <v>1000</v>
      </c>
      <c r="M19" s="15" t="n">
        <v>59940</v>
      </c>
      <c r="N19" s="15" t="n">
        <v>607030</v>
      </c>
    </row>
    <row r="20">
      <c r="A20" s="14" t="inlineStr">
        <is>
          <t>Mois 16</t>
        </is>
      </c>
      <c r="B20" s="6" t="n">
        <v>6000</v>
      </c>
      <c r="C20" s="7" t="n">
        <v>60</v>
      </c>
      <c r="D20" s="7" t="n">
        <v>16</v>
      </c>
      <c r="E20" s="7" t="n">
        <v>7</v>
      </c>
      <c r="F20" s="7" t="n">
        <v>23</v>
      </c>
      <c r="G20" s="6" t="n">
        <v>1334000</v>
      </c>
      <c r="H20" s="6" t="n">
        <v>66700</v>
      </c>
      <c r="I20" s="6" t="n">
        <v>20010</v>
      </c>
      <c r="J20" s="6" t="n">
        <v>86710</v>
      </c>
      <c r="K20" s="6" t="n">
        <v>16000</v>
      </c>
      <c r="L20" s="6" t="n">
        <v>1000</v>
      </c>
      <c r="M20" s="15" t="n">
        <v>63710</v>
      </c>
      <c r="N20" s="15" t="n">
        <v>670740</v>
      </c>
    </row>
    <row r="21">
      <c r="A21" s="14" t="inlineStr">
        <is>
          <t>Mois 17</t>
        </is>
      </c>
      <c r="B21" s="6" t="n">
        <v>6000</v>
      </c>
      <c r="C21" s="7" t="n">
        <v>60</v>
      </c>
      <c r="D21" s="7" t="n">
        <v>16</v>
      </c>
      <c r="E21" s="7" t="n">
        <v>7</v>
      </c>
      <c r="F21" s="7" t="n">
        <v>23</v>
      </c>
      <c r="G21" s="6" t="n">
        <v>1334000</v>
      </c>
      <c r="H21" s="6" t="n">
        <v>66700</v>
      </c>
      <c r="I21" s="6" t="n">
        <v>20010</v>
      </c>
      <c r="J21" s="6" t="n">
        <v>86710</v>
      </c>
      <c r="K21" s="6" t="n">
        <v>16000</v>
      </c>
      <c r="L21" s="6" t="n">
        <v>1000</v>
      </c>
      <c r="M21" s="15" t="n">
        <v>63710</v>
      </c>
      <c r="N21" s="15" t="n">
        <v>734450</v>
      </c>
    </row>
    <row r="22">
      <c r="A22" s="14" t="inlineStr">
        <is>
          <t>Mois 18</t>
        </is>
      </c>
      <c r="B22" s="6" t="n">
        <v>6000</v>
      </c>
      <c r="C22" s="7" t="n">
        <v>60</v>
      </c>
      <c r="D22" s="7" t="n">
        <v>16</v>
      </c>
      <c r="E22" s="7" t="n">
        <v>7</v>
      </c>
      <c r="F22" s="7" t="n">
        <v>23</v>
      </c>
      <c r="G22" s="6" t="n">
        <v>1334000</v>
      </c>
      <c r="H22" s="6" t="n">
        <v>66700</v>
      </c>
      <c r="I22" s="6" t="n">
        <v>20010</v>
      </c>
      <c r="J22" s="6" t="n">
        <v>86710</v>
      </c>
      <c r="K22" s="6" t="n">
        <v>16000</v>
      </c>
      <c r="L22" s="6" t="n">
        <v>1000</v>
      </c>
      <c r="M22" s="15" t="n">
        <v>63710</v>
      </c>
      <c r="N22" s="15" t="n">
        <v>798160</v>
      </c>
    </row>
    <row r="23">
      <c r="A23" s="14" t="inlineStr">
        <is>
          <t>Mois 19</t>
        </is>
      </c>
      <c r="B23" s="6" t="n">
        <v>6000</v>
      </c>
      <c r="C23" s="7" t="n">
        <v>60</v>
      </c>
      <c r="D23" s="7" t="n">
        <v>16</v>
      </c>
      <c r="E23" s="7" t="n">
        <v>8</v>
      </c>
      <c r="F23" s="7" t="n">
        <v>24</v>
      </c>
      <c r="G23" s="6" t="n">
        <v>1392000</v>
      </c>
      <c r="H23" s="6" t="n">
        <v>69600</v>
      </c>
      <c r="I23" s="6" t="n">
        <v>20880</v>
      </c>
      <c r="J23" s="6" t="n">
        <v>90480</v>
      </c>
      <c r="K23" s="6" t="n">
        <v>16000</v>
      </c>
      <c r="L23" s="6" t="n">
        <v>1000</v>
      </c>
      <c r="M23" s="15" t="n">
        <v>67480</v>
      </c>
      <c r="N23" s="15" t="n">
        <v>865640</v>
      </c>
    </row>
    <row r="24">
      <c r="A24" s="14" t="inlineStr">
        <is>
          <t>Mois 20</t>
        </is>
      </c>
      <c r="B24" s="6" t="n">
        <v>6000</v>
      </c>
      <c r="C24" s="7" t="n">
        <v>60</v>
      </c>
      <c r="D24" s="7" t="n">
        <v>16</v>
      </c>
      <c r="E24" s="7" t="n">
        <v>8</v>
      </c>
      <c r="F24" s="7" t="n">
        <v>24</v>
      </c>
      <c r="G24" s="6" t="n">
        <v>1392000</v>
      </c>
      <c r="H24" s="6" t="n">
        <v>69600</v>
      </c>
      <c r="I24" s="6" t="n">
        <v>20880</v>
      </c>
      <c r="J24" s="6" t="n">
        <v>90480</v>
      </c>
      <c r="K24" s="6" t="n">
        <v>16000</v>
      </c>
      <c r="L24" s="6" t="n">
        <v>1000</v>
      </c>
      <c r="M24" s="15" t="n">
        <v>67480</v>
      </c>
      <c r="N24" s="15" t="n">
        <v>933120</v>
      </c>
    </row>
    <row r="25">
      <c r="A25" s="14" t="inlineStr">
        <is>
          <t>Mois 21</t>
        </is>
      </c>
      <c r="B25" s="6" t="n">
        <v>6000</v>
      </c>
      <c r="C25" s="7" t="n">
        <v>60</v>
      </c>
      <c r="D25" s="7" t="n">
        <v>16</v>
      </c>
      <c r="E25" s="7" t="n">
        <v>10</v>
      </c>
      <c r="F25" s="7" t="n">
        <v>26</v>
      </c>
      <c r="G25" s="6" t="n">
        <v>1508000</v>
      </c>
      <c r="H25" s="6" t="n">
        <v>75400</v>
      </c>
      <c r="I25" s="6" t="n">
        <v>22620</v>
      </c>
      <c r="J25" s="6" t="n">
        <v>98020</v>
      </c>
      <c r="K25" s="6" t="n">
        <v>16000</v>
      </c>
      <c r="L25" s="6" t="n">
        <v>1000</v>
      </c>
      <c r="M25" s="15" t="n">
        <v>75020</v>
      </c>
      <c r="N25" s="15" t="n">
        <v>1008140</v>
      </c>
    </row>
    <row r="26">
      <c r="A26" s="14" t="inlineStr">
        <is>
          <t>Mois 22</t>
        </is>
      </c>
      <c r="B26" s="6" t="n">
        <v>6000</v>
      </c>
      <c r="C26" s="7" t="n">
        <v>60</v>
      </c>
      <c r="D26" s="7" t="n">
        <v>16</v>
      </c>
      <c r="E26" s="7" t="n">
        <v>10</v>
      </c>
      <c r="F26" s="7" t="n">
        <v>26</v>
      </c>
      <c r="G26" s="6" t="n">
        <v>1508000</v>
      </c>
      <c r="H26" s="6" t="n">
        <v>75400</v>
      </c>
      <c r="I26" s="6" t="n">
        <v>22620</v>
      </c>
      <c r="J26" s="6" t="n">
        <v>98020</v>
      </c>
      <c r="K26" s="6" t="n">
        <v>16000</v>
      </c>
      <c r="L26" s="6" t="n">
        <v>1000</v>
      </c>
      <c r="M26" s="15" t="n">
        <v>75020</v>
      </c>
      <c r="N26" s="15" t="n">
        <v>1083160</v>
      </c>
    </row>
    <row r="27">
      <c r="A27" s="14" t="inlineStr">
        <is>
          <t>Mois 23</t>
        </is>
      </c>
      <c r="B27" s="6" t="n">
        <v>6000</v>
      </c>
      <c r="C27" s="7" t="n">
        <v>60</v>
      </c>
      <c r="D27" s="7" t="n">
        <v>16</v>
      </c>
      <c r="E27" s="7" t="n">
        <v>10</v>
      </c>
      <c r="F27" s="7" t="n">
        <v>26</v>
      </c>
      <c r="G27" s="6" t="n">
        <v>1508000</v>
      </c>
      <c r="H27" s="6" t="n">
        <v>75400</v>
      </c>
      <c r="I27" s="6" t="n">
        <v>22620</v>
      </c>
      <c r="J27" s="6" t="n">
        <v>98020</v>
      </c>
      <c r="K27" s="6" t="n">
        <v>16000</v>
      </c>
      <c r="L27" s="6" t="n">
        <v>1000</v>
      </c>
      <c r="M27" s="15" t="n">
        <v>75020</v>
      </c>
      <c r="N27" s="15" t="n">
        <v>1158180</v>
      </c>
    </row>
    <row r="28">
      <c r="A28" s="14" t="inlineStr">
        <is>
          <t>Mois 24</t>
        </is>
      </c>
      <c r="B28" s="6" t="n">
        <v>6000</v>
      </c>
      <c r="C28" s="7" t="n">
        <v>60</v>
      </c>
      <c r="D28" s="7" t="n">
        <v>16</v>
      </c>
      <c r="E28" s="7" t="n">
        <v>10</v>
      </c>
      <c r="F28" s="7" t="n">
        <v>26</v>
      </c>
      <c r="G28" s="6" t="n">
        <v>1508000</v>
      </c>
      <c r="H28" s="6" t="n">
        <v>75400</v>
      </c>
      <c r="I28" s="6" t="n">
        <v>22620</v>
      </c>
      <c r="J28" s="6" t="n">
        <v>98020</v>
      </c>
      <c r="K28" s="6" t="n">
        <v>16000</v>
      </c>
      <c r="L28" s="6" t="n">
        <v>1000</v>
      </c>
      <c r="M28" s="15" t="n">
        <v>75020</v>
      </c>
      <c r="N28" s="15" t="n">
        <v>1233200</v>
      </c>
    </row>
    <row r="29">
      <c r="A29" s="16" t="inlineStr">
        <is>
          <t>TOTAL 24 MOIS</t>
        </is>
      </c>
      <c r="B29" s="17">
        <f>SUM(B5:B28)</f>
        <v/>
      </c>
      <c r="C29" s="18">
        <f>SUM(C5:C28)</f>
        <v/>
      </c>
      <c r="D29" s="18">
        <f>SUM(D5:D28)</f>
        <v/>
      </c>
      <c r="E29" s="18">
        <f>SUM(E5:E28)</f>
        <v/>
      </c>
      <c r="F29" s="18">
        <f>SUM(F5:F28)</f>
        <v/>
      </c>
      <c r="G29" s="17">
        <f>SUM(G5:G28)</f>
        <v/>
      </c>
      <c r="H29" s="17">
        <f>SUM(H5:H28)</f>
        <v/>
      </c>
      <c r="I29" s="17">
        <f>SUM(I5:I28)</f>
        <v/>
      </c>
      <c r="J29" s="17">
        <f>SUM(J5:J28)</f>
        <v/>
      </c>
      <c r="K29" s="17">
        <f>SUM(K5:K28)</f>
        <v/>
      </c>
      <c r="L29" s="17">
        <f>SUM(L5:L28)</f>
        <v/>
      </c>
      <c r="M29" s="17">
        <f>SUM(M5:M28)</f>
        <v/>
      </c>
      <c r="N29" s="17">
        <f>N28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5" customWidth="1" min="2" max="2"/>
    <col width="18" customWidth="1" min="3" max="3"/>
    <col width="17" customWidth="1" min="4" max="4"/>
    <col width="24" customWidth="1" min="5" max="5"/>
    <col width="15" customWidth="1" min="6" max="6"/>
    <col width="19" customWidth="1" min="7" max="7"/>
    <col width="16" customWidth="1" min="8" max="8"/>
    <col width="24" customWidth="1" min="9" max="9"/>
    <col width="18" customWidth="1" min="10" max="10"/>
    <col width="26" customWidth="1" min="11" max="11"/>
    <col width="21" customWidth="1" min="12" max="12"/>
    <col width="25" customWidth="1" min="13" max="13"/>
    <col width="24" customWidth="1" min="14" max="14"/>
  </cols>
  <sheetData>
    <row r="1">
      <c r="A1" s="1" t="inlineStr">
        <is>
          <t>APEX CAPITAL — MODÈLE FINANCIER DÉTAILLÉ : SCÉNARIO 3 : AGRESSIF (TRADING FLOOR 3 CLOSERS)</t>
        </is>
      </c>
    </row>
    <row r="2">
      <c r="A2" s="12" t="inlineStr">
        <is>
          <t>Horizon Prévisionnel : Mois 1 à Mois 24 | Devise : CAD | Exonéré de TPS/TVQ</t>
        </is>
      </c>
    </row>
    <row r="3"/>
    <row r="4">
      <c r="A4" s="13" t="inlineStr">
        <is>
          <t>Mois</t>
        </is>
      </c>
      <c r="B4" s="13" t="inlineStr">
        <is>
          <t>Ad Spend ($)</t>
        </is>
      </c>
      <c r="C4" s="13" t="inlineStr">
        <is>
          <t>Leads Qualifiés</t>
        </is>
      </c>
      <c r="D4" s="13" t="inlineStr">
        <is>
          <t>Nouveaux Deals</t>
        </is>
      </c>
      <c r="E4" s="13" t="inlineStr">
        <is>
          <t>Renouvellements (LTV)</t>
        </is>
      </c>
      <c r="F4" s="13" t="inlineStr">
        <is>
          <t>Total Deals</t>
        </is>
      </c>
      <c r="G4" s="13" t="inlineStr">
        <is>
          <t>Volume Prêts ($)</t>
        </is>
      </c>
      <c r="H4" s="13" t="inlineStr">
        <is>
          <t>Mandat 5% ($)</t>
        </is>
      </c>
      <c r="I4" s="13" t="inlineStr">
        <is>
          <t>Com. Prêteur 1.5% ($)</t>
        </is>
      </c>
      <c r="J4" s="13" t="inlineStr">
        <is>
          <t>Revenu Brut ($)</t>
        </is>
      </c>
      <c r="K4" s="13" t="inlineStr">
        <is>
          <t>Commissions Closers ($)</t>
        </is>
      </c>
      <c r="L4" s="13" t="inlineStr">
        <is>
          <t>Outils &amp; Infra ($)</t>
        </is>
      </c>
      <c r="M4" s="13" t="inlineStr">
        <is>
          <t>PROFIT NET MENSUEL ($)</t>
        </is>
      </c>
      <c r="N4" s="13" t="inlineStr">
        <is>
          <t>PROFIT NET CUMULÉ ($)</t>
        </is>
      </c>
    </row>
    <row r="5">
      <c r="A5" s="14" t="inlineStr">
        <is>
          <t>Mois 01</t>
        </is>
      </c>
      <c r="B5" s="6" t="n">
        <v>3000</v>
      </c>
      <c r="C5" s="7" t="n">
        <v>30</v>
      </c>
      <c r="D5" s="7" t="n">
        <v>8</v>
      </c>
      <c r="E5" s="7" t="n">
        <v>0</v>
      </c>
      <c r="F5" s="7" t="n">
        <v>8</v>
      </c>
      <c r="G5" s="6" t="n">
        <v>464000</v>
      </c>
      <c r="H5" s="6" t="n">
        <v>23200</v>
      </c>
      <c r="I5" s="6" t="n">
        <v>6960</v>
      </c>
      <c r="J5" s="6" t="n">
        <v>30160</v>
      </c>
      <c r="K5" s="6" t="n">
        <v>8000</v>
      </c>
      <c r="L5" s="6" t="n">
        <v>400</v>
      </c>
      <c r="M5" s="15" t="n">
        <v>18760</v>
      </c>
      <c r="N5" s="15" t="n">
        <v>18760</v>
      </c>
    </row>
    <row r="6">
      <c r="A6" s="14" t="inlineStr">
        <is>
          <t>Mois 02</t>
        </is>
      </c>
      <c r="B6" s="6" t="n">
        <v>6000</v>
      </c>
      <c r="C6" s="7" t="n">
        <v>53</v>
      </c>
      <c r="D6" s="7" t="n">
        <v>14</v>
      </c>
      <c r="E6" s="7" t="n">
        <v>0</v>
      </c>
      <c r="F6" s="7" t="n">
        <v>14</v>
      </c>
      <c r="G6" s="6" t="n">
        <v>812000</v>
      </c>
      <c r="H6" s="6" t="n">
        <v>40600</v>
      </c>
      <c r="I6" s="6" t="n">
        <v>12180</v>
      </c>
      <c r="J6" s="6" t="n">
        <v>52780</v>
      </c>
      <c r="K6" s="6" t="n">
        <v>14000</v>
      </c>
      <c r="L6" s="6" t="n">
        <v>400</v>
      </c>
      <c r="M6" s="15" t="n">
        <v>32380</v>
      </c>
      <c r="N6" s="15" t="n">
        <v>51140</v>
      </c>
    </row>
    <row r="7">
      <c r="A7" s="14" t="inlineStr">
        <is>
          <t>Mois 03</t>
        </is>
      </c>
      <c r="B7" s="6" t="n">
        <v>9000</v>
      </c>
      <c r="C7" s="7" t="n">
        <v>76</v>
      </c>
      <c r="D7" s="7" t="n">
        <v>20</v>
      </c>
      <c r="E7" s="7" t="n">
        <v>0</v>
      </c>
      <c r="F7" s="7" t="n">
        <v>20</v>
      </c>
      <c r="G7" s="6" t="n">
        <v>1160000</v>
      </c>
      <c r="H7" s="6" t="n">
        <v>58000</v>
      </c>
      <c r="I7" s="6" t="n">
        <v>17400</v>
      </c>
      <c r="J7" s="6" t="n">
        <v>75400</v>
      </c>
      <c r="K7" s="6" t="n">
        <v>20000</v>
      </c>
      <c r="L7" s="6" t="n">
        <v>400</v>
      </c>
      <c r="M7" s="15" t="n">
        <v>46000</v>
      </c>
      <c r="N7" s="15" t="n">
        <v>97140</v>
      </c>
    </row>
    <row r="8">
      <c r="A8" s="14" t="inlineStr">
        <is>
          <t>Mois 04</t>
        </is>
      </c>
      <c r="B8" s="6" t="n">
        <v>10000</v>
      </c>
      <c r="C8" s="7" t="n">
        <v>95</v>
      </c>
      <c r="D8" s="7" t="n">
        <v>25</v>
      </c>
      <c r="E8" s="7" t="n">
        <v>0</v>
      </c>
      <c r="F8" s="7" t="n">
        <v>25</v>
      </c>
      <c r="G8" s="6" t="n">
        <v>1450000</v>
      </c>
      <c r="H8" s="6" t="n">
        <v>72500</v>
      </c>
      <c r="I8" s="6" t="n">
        <v>21750</v>
      </c>
      <c r="J8" s="6" t="n">
        <v>94250</v>
      </c>
      <c r="K8" s="6" t="n">
        <v>25000</v>
      </c>
      <c r="L8" s="6" t="n">
        <v>400</v>
      </c>
      <c r="M8" s="15" t="n">
        <v>58850</v>
      </c>
      <c r="N8" s="15" t="n">
        <v>155990</v>
      </c>
    </row>
    <row r="9">
      <c r="A9" s="14" t="inlineStr">
        <is>
          <t>Mois 05</t>
        </is>
      </c>
      <c r="B9" s="6" t="n">
        <v>12000</v>
      </c>
      <c r="C9" s="7" t="n">
        <v>106</v>
      </c>
      <c r="D9" s="7" t="n">
        <v>28</v>
      </c>
      <c r="E9" s="7" t="n">
        <v>0</v>
      </c>
      <c r="F9" s="7" t="n">
        <v>28</v>
      </c>
      <c r="G9" s="6" t="n">
        <v>1624000</v>
      </c>
      <c r="H9" s="6" t="n">
        <v>81200</v>
      </c>
      <c r="I9" s="6" t="n">
        <v>24360</v>
      </c>
      <c r="J9" s="6" t="n">
        <v>105560</v>
      </c>
      <c r="K9" s="6" t="n">
        <v>28000</v>
      </c>
      <c r="L9" s="6" t="n">
        <v>400</v>
      </c>
      <c r="M9" s="15" t="n">
        <v>65160</v>
      </c>
      <c r="N9" s="15" t="n">
        <v>221150</v>
      </c>
    </row>
    <row r="10">
      <c r="A10" s="14" t="inlineStr">
        <is>
          <t>Mois 06</t>
        </is>
      </c>
      <c r="B10" s="6" t="n">
        <v>12000</v>
      </c>
      <c r="C10" s="7" t="n">
        <v>114</v>
      </c>
      <c r="D10" s="7" t="n">
        <v>30</v>
      </c>
      <c r="E10" s="7" t="n">
        <v>0</v>
      </c>
      <c r="F10" s="7" t="n">
        <v>30</v>
      </c>
      <c r="G10" s="6" t="n">
        <v>1740000</v>
      </c>
      <c r="H10" s="6" t="n">
        <v>87000</v>
      </c>
      <c r="I10" s="6" t="n">
        <v>26100</v>
      </c>
      <c r="J10" s="6" t="n">
        <v>113100</v>
      </c>
      <c r="K10" s="6" t="n">
        <v>30000</v>
      </c>
      <c r="L10" s="6" t="n">
        <v>400</v>
      </c>
      <c r="M10" s="15" t="n">
        <v>70700</v>
      </c>
      <c r="N10" s="15" t="n">
        <v>291850</v>
      </c>
    </row>
    <row r="11">
      <c r="A11" s="14" t="inlineStr">
        <is>
          <t>Mois 07</t>
        </is>
      </c>
      <c r="B11" s="6" t="n">
        <v>12000</v>
      </c>
      <c r="C11" s="7" t="n">
        <v>114</v>
      </c>
      <c r="D11" s="7" t="n">
        <v>30</v>
      </c>
      <c r="E11" s="7" t="n">
        <v>2</v>
      </c>
      <c r="F11" s="7" t="n">
        <v>32</v>
      </c>
      <c r="G11" s="6" t="n">
        <v>1856000</v>
      </c>
      <c r="H11" s="6" t="n">
        <v>92800</v>
      </c>
      <c r="I11" s="6" t="n">
        <v>27840</v>
      </c>
      <c r="J11" s="6" t="n">
        <v>120640</v>
      </c>
      <c r="K11" s="6" t="n">
        <v>30000</v>
      </c>
      <c r="L11" s="6" t="n">
        <v>600</v>
      </c>
      <c r="M11" s="15" t="n">
        <v>78040</v>
      </c>
      <c r="N11" s="15" t="n">
        <v>369890</v>
      </c>
    </row>
    <row r="12">
      <c r="A12" s="14" t="inlineStr">
        <is>
          <t>Mois 08</t>
        </is>
      </c>
      <c r="B12" s="6" t="n">
        <v>12000</v>
      </c>
      <c r="C12" s="7" t="n">
        <v>114</v>
      </c>
      <c r="D12" s="7" t="n">
        <v>30</v>
      </c>
      <c r="E12" s="7" t="n">
        <v>4</v>
      </c>
      <c r="F12" s="7" t="n">
        <v>34</v>
      </c>
      <c r="G12" s="6" t="n">
        <v>1972000</v>
      </c>
      <c r="H12" s="6" t="n">
        <v>98600</v>
      </c>
      <c r="I12" s="6" t="n">
        <v>29580</v>
      </c>
      <c r="J12" s="6" t="n">
        <v>128180</v>
      </c>
      <c r="K12" s="6" t="n">
        <v>30000</v>
      </c>
      <c r="L12" s="6" t="n">
        <v>600</v>
      </c>
      <c r="M12" s="15" t="n">
        <v>85580</v>
      </c>
      <c r="N12" s="15" t="n">
        <v>455470</v>
      </c>
    </row>
    <row r="13">
      <c r="A13" s="14" t="inlineStr">
        <is>
          <t>Mois 09</t>
        </is>
      </c>
      <c r="B13" s="6" t="n">
        <v>12000</v>
      </c>
      <c r="C13" s="7" t="n">
        <v>114</v>
      </c>
      <c r="D13" s="7" t="n">
        <v>30</v>
      </c>
      <c r="E13" s="7" t="n">
        <v>6</v>
      </c>
      <c r="F13" s="7" t="n">
        <v>36</v>
      </c>
      <c r="G13" s="6" t="n">
        <v>2088000</v>
      </c>
      <c r="H13" s="6" t="n">
        <v>104400</v>
      </c>
      <c r="I13" s="6" t="n">
        <v>31320</v>
      </c>
      <c r="J13" s="6" t="n">
        <v>135720</v>
      </c>
      <c r="K13" s="6" t="n">
        <v>30000</v>
      </c>
      <c r="L13" s="6" t="n">
        <v>600</v>
      </c>
      <c r="M13" s="15" t="n">
        <v>93120</v>
      </c>
      <c r="N13" s="15" t="n">
        <v>548590</v>
      </c>
    </row>
    <row r="14">
      <c r="A14" s="14" t="inlineStr">
        <is>
          <t>Mois 10</t>
        </is>
      </c>
      <c r="B14" s="6" t="n">
        <v>12000</v>
      </c>
      <c r="C14" s="7" t="n">
        <v>114</v>
      </c>
      <c r="D14" s="7" t="n">
        <v>30</v>
      </c>
      <c r="E14" s="7" t="n">
        <v>7</v>
      </c>
      <c r="F14" s="7" t="n">
        <v>37</v>
      </c>
      <c r="G14" s="6" t="n">
        <v>2146000</v>
      </c>
      <c r="H14" s="6" t="n">
        <v>107300</v>
      </c>
      <c r="I14" s="6" t="n">
        <v>32190</v>
      </c>
      <c r="J14" s="6" t="n">
        <v>139490</v>
      </c>
      <c r="K14" s="6" t="n">
        <v>30000</v>
      </c>
      <c r="L14" s="6" t="n">
        <v>600</v>
      </c>
      <c r="M14" s="15" t="n">
        <v>96890</v>
      </c>
      <c r="N14" s="15" t="n">
        <v>645480</v>
      </c>
    </row>
    <row r="15">
      <c r="A15" s="14" t="inlineStr">
        <is>
          <t>Mois 11</t>
        </is>
      </c>
      <c r="B15" s="6" t="n">
        <v>12000</v>
      </c>
      <c r="C15" s="7" t="n">
        <v>114</v>
      </c>
      <c r="D15" s="7" t="n">
        <v>30</v>
      </c>
      <c r="E15" s="7" t="n">
        <v>8</v>
      </c>
      <c r="F15" s="7" t="n">
        <v>38</v>
      </c>
      <c r="G15" s="6" t="n">
        <v>2204000</v>
      </c>
      <c r="H15" s="6" t="n">
        <v>110200</v>
      </c>
      <c r="I15" s="6" t="n">
        <v>33060</v>
      </c>
      <c r="J15" s="6" t="n">
        <v>143260</v>
      </c>
      <c r="K15" s="6" t="n">
        <v>30000</v>
      </c>
      <c r="L15" s="6" t="n">
        <v>600</v>
      </c>
      <c r="M15" s="15" t="n">
        <v>100660</v>
      </c>
      <c r="N15" s="15" t="n">
        <v>746140</v>
      </c>
    </row>
    <row r="16">
      <c r="A16" s="14" t="inlineStr">
        <is>
          <t>Mois 12</t>
        </is>
      </c>
      <c r="B16" s="6" t="n">
        <v>12000</v>
      </c>
      <c r="C16" s="7" t="n">
        <v>114</v>
      </c>
      <c r="D16" s="7" t="n">
        <v>30</v>
      </c>
      <c r="E16" s="7" t="n">
        <v>9</v>
      </c>
      <c r="F16" s="7" t="n">
        <v>39</v>
      </c>
      <c r="G16" s="6" t="n">
        <v>2262000</v>
      </c>
      <c r="H16" s="6" t="n">
        <v>113100</v>
      </c>
      <c r="I16" s="6" t="n">
        <v>33930</v>
      </c>
      <c r="J16" s="6" t="n">
        <v>147030</v>
      </c>
      <c r="K16" s="6" t="n">
        <v>30000</v>
      </c>
      <c r="L16" s="6" t="n">
        <v>600</v>
      </c>
      <c r="M16" s="15" t="n">
        <v>104430</v>
      </c>
      <c r="N16" s="15" t="n">
        <v>850570</v>
      </c>
    </row>
    <row r="17">
      <c r="A17" s="14" t="inlineStr">
        <is>
          <t>Mois 13</t>
        </is>
      </c>
      <c r="B17" s="6" t="n">
        <v>12000</v>
      </c>
      <c r="C17" s="7" t="n">
        <v>114</v>
      </c>
      <c r="D17" s="7" t="n">
        <v>30</v>
      </c>
      <c r="E17" s="7" t="n">
        <v>11</v>
      </c>
      <c r="F17" s="7" t="n">
        <v>41</v>
      </c>
      <c r="G17" s="6" t="n">
        <v>2378000</v>
      </c>
      <c r="H17" s="6" t="n">
        <v>118900</v>
      </c>
      <c r="I17" s="6" t="n">
        <v>35670</v>
      </c>
      <c r="J17" s="6" t="n">
        <v>154570</v>
      </c>
      <c r="K17" s="6" t="n">
        <v>30000</v>
      </c>
      <c r="L17" s="6" t="n">
        <v>1000</v>
      </c>
      <c r="M17" s="15" t="n">
        <v>111570</v>
      </c>
      <c r="N17" s="15" t="n">
        <v>962140</v>
      </c>
    </row>
    <row r="18">
      <c r="A18" s="14" t="inlineStr">
        <is>
          <t>Mois 14</t>
        </is>
      </c>
      <c r="B18" s="6" t="n">
        <v>12000</v>
      </c>
      <c r="C18" s="7" t="n">
        <v>114</v>
      </c>
      <c r="D18" s="7" t="n">
        <v>30</v>
      </c>
      <c r="E18" s="7" t="n">
        <v>12</v>
      </c>
      <c r="F18" s="7" t="n">
        <v>42</v>
      </c>
      <c r="G18" s="6" t="n">
        <v>2436000</v>
      </c>
      <c r="H18" s="6" t="n">
        <v>121800</v>
      </c>
      <c r="I18" s="6" t="n">
        <v>36540</v>
      </c>
      <c r="J18" s="6" t="n">
        <v>158340</v>
      </c>
      <c r="K18" s="6" t="n">
        <v>30000</v>
      </c>
      <c r="L18" s="6" t="n">
        <v>1000</v>
      </c>
      <c r="M18" s="15" t="n">
        <v>115340</v>
      </c>
      <c r="N18" s="15" t="n">
        <v>1077480</v>
      </c>
    </row>
    <row r="19">
      <c r="A19" s="14" t="inlineStr">
        <is>
          <t>Mois 15</t>
        </is>
      </c>
      <c r="B19" s="6" t="n">
        <v>12000</v>
      </c>
      <c r="C19" s="7" t="n">
        <v>114</v>
      </c>
      <c r="D19" s="7" t="n">
        <v>30</v>
      </c>
      <c r="E19" s="7" t="n">
        <v>14</v>
      </c>
      <c r="F19" s="7" t="n">
        <v>44</v>
      </c>
      <c r="G19" s="6" t="n">
        <v>2552000</v>
      </c>
      <c r="H19" s="6" t="n">
        <v>127600</v>
      </c>
      <c r="I19" s="6" t="n">
        <v>38280</v>
      </c>
      <c r="J19" s="6" t="n">
        <v>165880</v>
      </c>
      <c r="K19" s="6" t="n">
        <v>30000</v>
      </c>
      <c r="L19" s="6" t="n">
        <v>1000</v>
      </c>
      <c r="M19" s="15" t="n">
        <v>122880</v>
      </c>
      <c r="N19" s="15" t="n">
        <v>1200360</v>
      </c>
    </row>
    <row r="20">
      <c r="A20" s="14" t="inlineStr">
        <is>
          <t>Mois 16</t>
        </is>
      </c>
      <c r="B20" s="6" t="n">
        <v>12000</v>
      </c>
      <c r="C20" s="7" t="n">
        <v>114</v>
      </c>
      <c r="D20" s="7" t="n">
        <v>30</v>
      </c>
      <c r="E20" s="7" t="n">
        <v>15</v>
      </c>
      <c r="F20" s="7" t="n">
        <v>45</v>
      </c>
      <c r="G20" s="6" t="n">
        <v>2610000</v>
      </c>
      <c r="H20" s="6" t="n">
        <v>130500</v>
      </c>
      <c r="I20" s="6" t="n">
        <v>39150</v>
      </c>
      <c r="J20" s="6" t="n">
        <v>169650</v>
      </c>
      <c r="K20" s="6" t="n">
        <v>30000</v>
      </c>
      <c r="L20" s="6" t="n">
        <v>1000</v>
      </c>
      <c r="M20" s="15" t="n">
        <v>126650</v>
      </c>
      <c r="N20" s="15" t="n">
        <v>1327010</v>
      </c>
    </row>
    <row r="21">
      <c r="A21" s="14" t="inlineStr">
        <is>
          <t>Mois 17</t>
        </is>
      </c>
      <c r="B21" s="6" t="n">
        <v>12000</v>
      </c>
      <c r="C21" s="7" t="n">
        <v>114</v>
      </c>
      <c r="D21" s="7" t="n">
        <v>30</v>
      </c>
      <c r="E21" s="7" t="n">
        <v>16</v>
      </c>
      <c r="F21" s="7" t="n">
        <v>46</v>
      </c>
      <c r="G21" s="6" t="n">
        <v>2668000</v>
      </c>
      <c r="H21" s="6" t="n">
        <v>133400</v>
      </c>
      <c r="I21" s="6" t="n">
        <v>40020</v>
      </c>
      <c r="J21" s="6" t="n">
        <v>173420</v>
      </c>
      <c r="K21" s="6" t="n">
        <v>30000</v>
      </c>
      <c r="L21" s="6" t="n">
        <v>1000</v>
      </c>
      <c r="M21" s="15" t="n">
        <v>130420</v>
      </c>
      <c r="N21" s="15" t="n">
        <v>1457430</v>
      </c>
    </row>
    <row r="22">
      <c r="A22" s="14" t="inlineStr">
        <is>
          <t>Mois 18</t>
        </is>
      </c>
      <c r="B22" s="6" t="n">
        <v>12000</v>
      </c>
      <c r="C22" s="7" t="n">
        <v>114</v>
      </c>
      <c r="D22" s="7" t="n">
        <v>30</v>
      </c>
      <c r="E22" s="7" t="n">
        <v>16</v>
      </c>
      <c r="F22" s="7" t="n">
        <v>46</v>
      </c>
      <c r="G22" s="6" t="n">
        <v>2668000</v>
      </c>
      <c r="H22" s="6" t="n">
        <v>133400</v>
      </c>
      <c r="I22" s="6" t="n">
        <v>40020</v>
      </c>
      <c r="J22" s="6" t="n">
        <v>173420</v>
      </c>
      <c r="K22" s="6" t="n">
        <v>30000</v>
      </c>
      <c r="L22" s="6" t="n">
        <v>1000</v>
      </c>
      <c r="M22" s="15" t="n">
        <v>130420</v>
      </c>
      <c r="N22" s="15" t="n">
        <v>1587850</v>
      </c>
    </row>
    <row r="23">
      <c r="A23" s="14" t="inlineStr">
        <is>
          <t>Mois 19</t>
        </is>
      </c>
      <c r="B23" s="6" t="n">
        <v>12000</v>
      </c>
      <c r="C23" s="7" t="n">
        <v>114</v>
      </c>
      <c r="D23" s="7" t="n">
        <v>30</v>
      </c>
      <c r="E23" s="7" t="n">
        <v>17</v>
      </c>
      <c r="F23" s="7" t="n">
        <v>47</v>
      </c>
      <c r="G23" s="6" t="n">
        <v>2726000</v>
      </c>
      <c r="H23" s="6" t="n">
        <v>136300</v>
      </c>
      <c r="I23" s="6" t="n">
        <v>40890</v>
      </c>
      <c r="J23" s="6" t="n">
        <v>177190</v>
      </c>
      <c r="K23" s="6" t="n">
        <v>30000</v>
      </c>
      <c r="L23" s="6" t="n">
        <v>1000</v>
      </c>
      <c r="M23" s="15" t="n">
        <v>134190</v>
      </c>
      <c r="N23" s="15" t="n">
        <v>1722040</v>
      </c>
    </row>
    <row r="24">
      <c r="A24" s="14" t="inlineStr">
        <is>
          <t>Mois 20</t>
        </is>
      </c>
      <c r="B24" s="6" t="n">
        <v>12000</v>
      </c>
      <c r="C24" s="7" t="n">
        <v>114</v>
      </c>
      <c r="D24" s="7" t="n">
        <v>30</v>
      </c>
      <c r="E24" s="7" t="n">
        <v>18</v>
      </c>
      <c r="F24" s="7" t="n">
        <v>48</v>
      </c>
      <c r="G24" s="6" t="n">
        <v>2784000</v>
      </c>
      <c r="H24" s="6" t="n">
        <v>139200</v>
      </c>
      <c r="I24" s="6" t="n">
        <v>41760</v>
      </c>
      <c r="J24" s="6" t="n">
        <v>180960</v>
      </c>
      <c r="K24" s="6" t="n">
        <v>30000</v>
      </c>
      <c r="L24" s="6" t="n">
        <v>1000</v>
      </c>
      <c r="M24" s="15" t="n">
        <v>137960</v>
      </c>
      <c r="N24" s="15" t="n">
        <v>1860000</v>
      </c>
    </row>
    <row r="25">
      <c r="A25" s="14" t="inlineStr">
        <is>
          <t>Mois 21</t>
        </is>
      </c>
      <c r="B25" s="6" t="n">
        <v>12000</v>
      </c>
      <c r="C25" s="7" t="n">
        <v>114</v>
      </c>
      <c r="D25" s="7" t="n">
        <v>30</v>
      </c>
      <c r="E25" s="7" t="n">
        <v>20</v>
      </c>
      <c r="F25" s="7" t="n">
        <v>50</v>
      </c>
      <c r="G25" s="6" t="n">
        <v>2900000</v>
      </c>
      <c r="H25" s="6" t="n">
        <v>145000</v>
      </c>
      <c r="I25" s="6" t="n">
        <v>43500</v>
      </c>
      <c r="J25" s="6" t="n">
        <v>188500</v>
      </c>
      <c r="K25" s="6" t="n">
        <v>30000</v>
      </c>
      <c r="L25" s="6" t="n">
        <v>1000</v>
      </c>
      <c r="M25" s="15" t="n">
        <v>145500</v>
      </c>
      <c r="N25" s="15" t="n">
        <v>2005500</v>
      </c>
    </row>
    <row r="26">
      <c r="A26" s="14" t="inlineStr">
        <is>
          <t>Mois 22</t>
        </is>
      </c>
      <c r="B26" s="6" t="n">
        <v>12000</v>
      </c>
      <c r="C26" s="7" t="n">
        <v>114</v>
      </c>
      <c r="D26" s="7" t="n">
        <v>30</v>
      </c>
      <c r="E26" s="7" t="n">
        <v>21</v>
      </c>
      <c r="F26" s="7" t="n">
        <v>51</v>
      </c>
      <c r="G26" s="6" t="n">
        <v>2958000</v>
      </c>
      <c r="H26" s="6" t="n">
        <v>147900</v>
      </c>
      <c r="I26" s="6" t="n">
        <v>44370</v>
      </c>
      <c r="J26" s="6" t="n">
        <v>192270</v>
      </c>
      <c r="K26" s="6" t="n">
        <v>30000</v>
      </c>
      <c r="L26" s="6" t="n">
        <v>1000</v>
      </c>
      <c r="M26" s="15" t="n">
        <v>149270</v>
      </c>
      <c r="N26" s="15" t="n">
        <v>2154770</v>
      </c>
    </row>
    <row r="27">
      <c r="A27" s="14" t="inlineStr">
        <is>
          <t>Mois 23</t>
        </is>
      </c>
      <c r="B27" s="6" t="n">
        <v>12000</v>
      </c>
      <c r="C27" s="7" t="n">
        <v>114</v>
      </c>
      <c r="D27" s="7" t="n">
        <v>30</v>
      </c>
      <c r="E27" s="7" t="n">
        <v>21</v>
      </c>
      <c r="F27" s="7" t="n">
        <v>51</v>
      </c>
      <c r="G27" s="6" t="n">
        <v>2958000</v>
      </c>
      <c r="H27" s="6" t="n">
        <v>147900</v>
      </c>
      <c r="I27" s="6" t="n">
        <v>44370</v>
      </c>
      <c r="J27" s="6" t="n">
        <v>192270</v>
      </c>
      <c r="K27" s="6" t="n">
        <v>30000</v>
      </c>
      <c r="L27" s="6" t="n">
        <v>1000</v>
      </c>
      <c r="M27" s="15" t="n">
        <v>149270</v>
      </c>
      <c r="N27" s="15" t="n">
        <v>2304040</v>
      </c>
    </row>
    <row r="28">
      <c r="A28" s="14" t="inlineStr">
        <is>
          <t>Mois 24</t>
        </is>
      </c>
      <c r="B28" s="6" t="n">
        <v>12000</v>
      </c>
      <c r="C28" s="7" t="n">
        <v>114</v>
      </c>
      <c r="D28" s="7" t="n">
        <v>30</v>
      </c>
      <c r="E28" s="7" t="n">
        <v>22</v>
      </c>
      <c r="F28" s="7" t="n">
        <v>52</v>
      </c>
      <c r="G28" s="6" t="n">
        <v>3016000</v>
      </c>
      <c r="H28" s="6" t="n">
        <v>150800</v>
      </c>
      <c r="I28" s="6" t="n">
        <v>45240</v>
      </c>
      <c r="J28" s="6" t="n">
        <v>196040</v>
      </c>
      <c r="K28" s="6" t="n">
        <v>30000</v>
      </c>
      <c r="L28" s="6" t="n">
        <v>1000</v>
      </c>
      <c r="M28" s="15" t="n">
        <v>153040</v>
      </c>
      <c r="N28" s="15" t="n">
        <v>2457080</v>
      </c>
    </row>
    <row r="29">
      <c r="A29" s="16" t="inlineStr">
        <is>
          <t>TOTAL 24 MOIS</t>
        </is>
      </c>
      <c r="B29" s="17">
        <f>SUM(B5:B28)</f>
        <v/>
      </c>
      <c r="C29" s="18">
        <f>SUM(C5:C28)</f>
        <v/>
      </c>
      <c r="D29" s="18">
        <f>SUM(D5:D28)</f>
        <v/>
      </c>
      <c r="E29" s="18">
        <f>SUM(E5:E28)</f>
        <v/>
      </c>
      <c r="F29" s="18">
        <f>SUM(F5:F28)</f>
        <v/>
      </c>
      <c r="G29" s="17">
        <f>SUM(G5:G28)</f>
        <v/>
      </c>
      <c r="H29" s="17">
        <f>SUM(H5:H28)</f>
        <v/>
      </c>
      <c r="I29" s="17">
        <f>SUM(I5:I28)</f>
        <v/>
      </c>
      <c r="J29" s="17">
        <f>SUM(J5:J28)</f>
        <v/>
      </c>
      <c r="K29" s="17">
        <f>SUM(K5:K28)</f>
        <v/>
      </c>
      <c r="L29" s="17">
        <f>SUM(L5:L28)</f>
        <v/>
      </c>
      <c r="M29" s="17">
        <f>SUM(M5:M28)</f>
        <v/>
      </c>
      <c r="N29" s="17">
        <f>N28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33" customWidth="1" min="2" max="2"/>
    <col width="29" customWidth="1" min="3" max="3"/>
    <col width="18" customWidth="1" min="4" max="4"/>
    <col width="53" customWidth="1" min="5" max="5"/>
  </cols>
  <sheetData>
    <row r="1">
      <c r="A1" s="1" t="inlineStr">
        <is>
          <t>UNIT ECONOMICS, STRUCTURE DE SPREAD &amp; OPTIMISATION FISCALE (CANADA / QC)</t>
        </is>
      </c>
    </row>
    <row r="2"/>
    <row r="3">
      <c r="A3" s="4" t="inlineStr">
        <is>
          <t>Composante Économique</t>
        </is>
      </c>
      <c r="B3" s="4" t="inlineStr">
        <is>
          <t>Base de Calcul</t>
        </is>
      </c>
      <c r="C3" s="4" t="inlineStr">
        <is>
          <t>Valeur Moyenne / Deal ($)</t>
        </is>
      </c>
      <c r="D3" s="4" t="inlineStr">
        <is>
          <t>% du Volume</t>
        </is>
      </c>
      <c r="E3" s="4" t="inlineStr">
        <is>
          <t>Impact Fiscal (CRA / RQ)</t>
        </is>
      </c>
    </row>
    <row r="4">
      <c r="A4" s="5" t="inlineStr">
        <is>
          <t>Montant Brut Moyen du Prêt Financé</t>
        </is>
      </c>
      <c r="B4" s="19" t="inlineStr">
        <is>
          <t>Dépôts Flinks x 0.85</t>
        </is>
      </c>
      <c r="C4" s="6" t="n">
        <v>58000</v>
      </c>
      <c r="D4" s="10" t="n">
        <v>1</v>
      </c>
      <c r="E4" s="19" t="inlineStr">
        <is>
          <t>Base d'actif financé</t>
        </is>
      </c>
    </row>
    <row r="5">
      <c r="A5" s="5" t="inlineStr">
        <is>
          <t>Honoraires de Mandat Apex Capital</t>
        </is>
      </c>
      <c r="B5" s="19" t="inlineStr">
        <is>
          <t>5.00 % du prêt brut</t>
        </is>
      </c>
      <c r="C5" s="6" t="n">
        <v>2900</v>
      </c>
      <c r="D5" s="10" t="n">
        <v>0.05</v>
      </c>
      <c r="E5" s="19" t="inlineStr">
        <is>
          <t>100 % EXONÉRÉ de TPS et TVQ (Art. 123(1) LTA)</t>
        </is>
      </c>
    </row>
    <row r="6">
      <c r="A6" s="5" t="inlineStr">
        <is>
          <t>Commission Partenaire Prêteur (MG / AFN)</t>
        </is>
      </c>
      <c r="B6" s="19" t="inlineStr">
        <is>
          <t>1.50 % du prêt brut</t>
        </is>
      </c>
      <c r="C6" s="6" t="n">
        <v>870</v>
      </c>
      <c r="D6" s="10" t="n">
        <v>0.015</v>
      </c>
      <c r="E6" s="19" t="inlineStr">
        <is>
          <t>Commission B2B directe virée en 24h</t>
        </is>
      </c>
    </row>
    <row r="7">
      <c r="A7" s="5" t="inlineStr">
        <is>
          <t>SPREAD BRUT TOTAL APEX CAPITAL</t>
        </is>
      </c>
      <c r="B7" s="5" t="inlineStr">
        <is>
          <t>6.50 % du volume</t>
        </is>
      </c>
      <c r="C7" s="20" t="n">
        <v>3770</v>
      </c>
      <c r="D7" s="21" t="n">
        <v>0.065</v>
      </c>
      <c r="E7" s="5" t="inlineStr">
        <is>
          <t>Encaissé au déboursement par Direction to Pay</t>
        </is>
      </c>
    </row>
    <row r="8">
      <c r="A8" s="5" t="inlineStr">
        <is>
          <t>Coût Moyen par Acquisition Client (CPA)</t>
        </is>
      </c>
      <c r="B8" s="19" t="inlineStr">
        <is>
          <t>Google Ads Search Exact</t>
        </is>
      </c>
      <c r="C8" s="6" t="n">
        <v>-370</v>
      </c>
      <c r="D8" s="10" t="n">
        <v>-0.006</v>
      </c>
      <c r="E8" s="19" t="inlineStr">
        <is>
          <t>Dépense publicitaire 100% déductible d'impôt</t>
        </is>
      </c>
    </row>
    <row r="9">
      <c r="A9" s="5" t="inlineStr">
        <is>
          <t>Commission Closer (Si délégué)</t>
        </is>
      </c>
      <c r="B9" s="19" t="inlineStr">
        <is>
          <t>Fixe 1 000 $ ou 25 %</t>
        </is>
      </c>
      <c r="C9" s="6" t="n">
        <v>-1000</v>
      </c>
      <c r="D9" s="10" t="n">
        <v>-0.017</v>
      </c>
      <c r="E9" s="19" t="inlineStr">
        <is>
          <t>Frais de sous-traitance 100% déductible</t>
        </is>
      </c>
    </row>
    <row r="10">
      <c r="A10" s="5" t="inlineStr">
        <is>
          <t>MARGE NETTE RÉSIDUELLE PAR TRANSACTION</t>
        </is>
      </c>
      <c r="B10" s="5" t="inlineStr">
        <is>
          <t>Après Pub &amp; Closer</t>
        </is>
      </c>
      <c r="C10" s="20" t="n">
        <v>2400</v>
      </c>
      <c r="D10" s="21" t="n">
        <v>0.041</v>
      </c>
      <c r="E10" s="5" t="inlineStr">
        <is>
          <t>Marge Nette de 63.6% à 89% sur deal solo</t>
        </is>
      </c>
    </row>
    <row r="11">
      <c r="A11" s="5" t="inlineStr">
        <is>
          <t>Valeur Vie Client (LTV sur 24 Mois)</t>
        </is>
      </c>
      <c r="B11" s="19" t="inlineStr">
        <is>
          <t>3.5 Prêts x 3 770 $</t>
        </is>
      </c>
      <c r="C11" s="6" t="n">
        <v>13195</v>
      </c>
      <c r="D11" s="10" t="n">
        <v>0.227</v>
      </c>
      <c r="E11" s="19" t="inlineStr">
        <is>
          <t>Généré à 0 $ de coût publicitaire additionnel</t>
        </is>
      </c>
    </row>
    <row r="12">
      <c r="A12" s="5" t="inlineStr">
        <is>
          <t>Déduction Véhicule Corporatif (Porsche 911)</t>
        </is>
      </c>
      <c r="B12" s="19" t="inlineStr">
        <is>
          <t>Loyer + Assurance + Gaz</t>
        </is>
      </c>
      <c r="C12" s="6" t="n">
        <v>35000</v>
      </c>
      <c r="D12" s="10" t="n">
        <v>0.6</v>
      </c>
      <c r="E12" s="19" t="inlineStr">
        <is>
          <t>Réduit directement le revenu imposable corporatif</t>
        </is>
      </c>
    </row>
    <row r="13">
      <c r="A13" s="5" t="inlineStr">
        <is>
          <t>Frais de Repas &amp; Représentation (Sober)</t>
        </is>
      </c>
      <c r="B13" s="19" t="inlineStr">
        <is>
          <t>Dîners d'affaires sans alcool</t>
        </is>
      </c>
      <c r="C13" s="6" t="n">
        <v>8000</v>
      </c>
      <c r="D13" s="10" t="n">
        <v>0.14</v>
      </c>
      <c r="E13" s="19" t="inlineStr">
        <is>
          <t>50 % déductible avec registre de reçus propre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2026-09-16T01:19:35Z</dcterms:created>
  <dcterms:modified xmlns:dcterms="http://purl.org/dc/terms/" xmlns:xsi="http://www.w3.org/2001/XMLSchema-instance" xsi:type="dcterms:W3CDTF">2026-09-16T01:19:36Z</dcterms:modified>
</cp:coreProperties>
</file>