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oal_30_per_month" sheetId="2" state="visible" r:id="rId4"/>
    <sheet name="Assumptions" sheetId="3" state="visible" r:id="rId5"/>
    <sheet name="Conservative" sheetId="4" state="visible" r:id="rId6"/>
    <sheet name="Base" sheetId="5" state="visible" r:id="rId7"/>
    <sheet name="Strong" sheetId="6" state="visible" r:id="rId8"/>
    <sheet name="Benchmark_PrimedLoa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<sst xmlns="http://schemas.openxmlformats.org/spreadsheetml/2006/main" count="291" uniqueCount="191">
  <si>
    <t xml:space="preserve">CapitalFacile: 24-month projection summary (CAD)</t>
  </si>
  <si>
    <t xml:space="preserve">Revenue = 6% client fee + your 50% of AFN's commission. Profit is before income tax and before paying yourself. Change inputs on the Assumptions tab.</t>
  </si>
  <si>
    <t xml:space="preserve">Metric</t>
  </si>
  <si>
    <t xml:space="preserve">Conservative</t>
  </si>
  <si>
    <t xml:space="preserve">Base</t>
  </si>
  <si>
    <t xml:space="preserve">Strong</t>
  </si>
  <si>
    <t xml:space="preserve">YEAR 1</t>
  </si>
  <si>
    <t xml:space="preserve">Funded deals (new + renewals)</t>
  </si>
  <si>
    <t xml:space="preserve">Funded volume</t>
  </si>
  <si>
    <t xml:space="preserve">Client success fees</t>
  </si>
  <si>
    <t xml:space="preserve">Your share of AFN commission</t>
  </si>
  <si>
    <t xml:space="preserve">Total revenue</t>
  </si>
  <si>
    <t xml:space="preserve">Ad spend</t>
  </si>
  <si>
    <t xml:space="preserve">Net profit before tax</t>
  </si>
  <si>
    <t xml:space="preserve">YEAR 2</t>
  </si>
  <si>
    <t xml:space="preserve">RUN RATE AT MONTH 24</t>
  </si>
  <si>
    <t xml:space="preserve">Monthly revenue</t>
  </si>
  <si>
    <t xml:space="preserve">Monthly net profit</t>
  </si>
  <si>
    <t xml:space="preserve">Leads to call per business day</t>
  </si>
  <si>
    <t xml:space="preserve">UNIT ECONOMICS</t>
  </si>
  <si>
    <t xml:space="preserve">Revenue per new funded deal</t>
  </si>
  <si>
    <t xml:space="preserve">Ad spend per new funded deal (CAC)</t>
  </si>
  <si>
    <t xml:space="preserve">Profit per new funded deal</t>
  </si>
  <si>
    <t xml:space="preserve">Max cost per lead to break even</t>
  </si>
  <si>
    <t xml:space="preserve">Funded deals/month needed for $1M profit/yr</t>
  </si>
  <si>
    <t xml:space="preserve">How to read this:</t>
  </si>
  <si>
    <t xml:space="preserve">- The biggest unknown is what AFN earns per deal (Assumptions row 'Commission the lender pays AFN'). Ask Amir and update it.</t>
  </si>
  <si>
    <t xml:space="preserve">- The model is most sensitive to cost per lead and lead-to-funded conversion. After 30 days of ads, replace both with your real numbers.</t>
  </si>
  <si>
    <t xml:space="preserve">- If 'Profit per new funded deal' is negative, cut ad spend and fix conversion first: scaling a losing funnel loses more money.</t>
  </si>
  <si>
    <t xml:space="preserve">- Renewals are where the margin is: no ad spend, AFN still pays your 50%. Stay in touch with every funded client.</t>
  </si>
  <si>
    <t xml:space="preserve">- Cash timing: client fee is collected ~2 business days after funding; AFN pays within 7 business days but may hold up to 45 days (Schedule A).</t>
  </si>
  <si>
    <t xml:space="preserve">- Not included: income tax, your salary, a second closer's pay, legal fees, any reduction of the 50% split by AFN.</t>
  </si>
  <si>
    <t xml:space="preserve">Goal: 30 funded deals a month (1 per business day)</t>
  </si>
  <si>
    <t xml:space="preserve">Works backward from the deal target. Green cells pull the Base case from the Assumptions tab; blue cells are inputs you can change here.</t>
  </si>
  <si>
    <t xml:space="preserve">Inputs</t>
  </si>
  <si>
    <t xml:space="preserve">Funded deals per month (new clients)</t>
  </si>
  <si>
    <t xml:space="preserve">Your goal.</t>
  </si>
  <si>
    <t xml:space="preserve">Average funded amount</t>
  </si>
  <si>
    <t xml:space="preserve">Base case.</t>
  </si>
  <si>
    <t xml:space="preserve">Cost per lead</t>
  </si>
  <si>
    <t xml:space="preserve">Base case. Usually rises as you spend more on the same keywords.</t>
  </si>
  <si>
    <t xml:space="preserve">Lead to funded conversion</t>
  </si>
  <si>
    <t xml:space="preserve">Business days per month</t>
  </si>
  <si>
    <t xml:space="preserve">New leads one person can call well per day</t>
  </si>
  <si>
    <t xml:space="preserve">Assumption: first call ~15 min + follow-ups, document chasing and closing on open files.</t>
  </si>
  <si>
    <t xml:space="preserve">What it takes each month</t>
  </si>
  <si>
    <t xml:space="preserve">Leads needed</t>
  </si>
  <si>
    <t xml:space="preserve">People needed on the phones (incl. you)</t>
  </si>
  <si>
    <t xml:space="preserve">Hire a qualifier who calls within 5 min and hands you the good files.</t>
  </si>
  <si>
    <t xml:space="preserve">Google Ads budget</t>
  </si>
  <si>
    <t xml:space="preserve">Paid before the money comes in.</t>
  </si>
  <si>
    <t xml:space="preserve">Client success fees (collected)</t>
  </si>
  <si>
    <t xml:space="preserve">6% x collection rate.</t>
  </si>
  <si>
    <t xml:space="preserve">Your 50% of AFN commission</t>
  </si>
  <si>
    <t xml:space="preserve">Depends on what the lender pays AFN: ask Amir.</t>
  </si>
  <si>
    <t xml:space="preserve">Variable costs</t>
  </si>
  <si>
    <t xml:space="preserve">Fixed costs</t>
  </si>
  <si>
    <t xml:space="preserve">Net profit per month (before tax, team pay)</t>
  </si>
  <si>
    <t xml:space="preserve">Pay a qualifier out of this.</t>
  </si>
  <si>
    <t xml:space="preserve">Net profit per year</t>
  </si>
  <si>
    <t xml:space="preserve">Once renewals kick in (steady state, ~6 months in)</t>
  </si>
  <si>
    <t xml:space="preserve">Renewal deals per month</t>
  </si>
  <si>
    <t xml:space="preserve">Base renewal rate. No ad spend.</t>
  </si>
  <si>
    <t xml:space="preserve">Renewal revenue</t>
  </si>
  <si>
    <t xml:space="preserve">AFN pays your 50% on renewals.</t>
  </si>
  <si>
    <t xml:space="preserve">Net profit per month with renewals</t>
  </si>
  <si>
    <t xml:space="preserve">Net profit per year with renewals</t>
  </si>
  <si>
    <t xml:space="preserve">Monthly Google Ads budget needed for the target</t>
  </si>
  <si>
    <t xml:space="preserve">Conversion ↓ / Cost per lead →</t>
  </si>
  <si>
    <t xml:space="preserve">Monthly net profit at the target (before renewals)</t>
  </si>
  <si>
    <t xml:space="preserve">Cash: you pay for ads up front. The client fee arrives ~2 business days after funding, but AFN can hold its commission up to 45 days (Schedule A).</t>
  </si>
  <si>
    <t xml:space="preserve">Plan working capital of roughly one to two months of ad budget, or ramp up gradually by reinvesting profit (see the Base tab).</t>
  </si>
  <si>
    <t xml:space="preserve">Ask Amir whether AFN can fund ~30 deals a month from one partner, and how fast its underwriting turns files around at that volume.</t>
  </si>
  <si>
    <t xml:space="preserve">CapitalFacile: 24-month projection assumptions</t>
  </si>
  <si>
    <t xml:space="preserve">Blue = input you can change. Yellow = key assumption to confirm. All amounts in CAD. Model starts the month paid ads go live.</t>
  </si>
  <si>
    <t xml:space="preserve">Assumption</t>
  </si>
  <si>
    <t xml:space="preserve">Unit</t>
  </si>
  <si>
    <t xml:space="preserve">Source / note</t>
  </si>
  <si>
    <t xml:space="preserve">Average funded amount per deal</t>
  </si>
  <si>
    <t xml:space="preserve">$</t>
  </si>
  <si>
    <t xml:space="preserve">Estimate for Quebec SMB revenue-based advances. Confirm with AFN's average funded size.</t>
  </si>
  <si>
    <t xml:space="preserve">Cost per lead (Google Ads)</t>
  </si>
  <si>
    <t xml:space="preserve">Estimate: ~$8-15 CPC on French business-financing keywords x 6-10% landing-page conversion. Replace with real data after 30 days of ads.</t>
  </si>
  <si>
    <t xml:space="preserve">Lead to funded deal conversion</t>
  </si>
  <si>
    <t xml:space="preserve">%</t>
  </si>
  <si>
    <t xml:space="preserve">Estimate for paid search leads to a revenue-based funding broker. Your 5-minute callback is the main lever here.</t>
  </si>
  <si>
    <t xml:space="preserve">Ad spend, month 1</t>
  </si>
  <si>
    <t xml:space="preserve">Your choice.</t>
  </si>
  <si>
    <t xml:space="preserve">Ad spend increase per month</t>
  </si>
  <si>
    <t xml:space="preserve">Max ad spend per month</t>
  </si>
  <si>
    <t xml:space="preserve">Cap so leads stay callable by one person (see 'Leads per business day' on each projection tab). Strong case needs a second closer.</t>
  </si>
  <si>
    <t xml:space="preserve">Client success fee</t>
  </si>
  <si>
    <t xml:space="preserve">Your mandate: 6% of gross amount funded. Requires AFN's written OK (Schedule A).</t>
  </si>
  <si>
    <t xml:space="preserve">Share of client fees actually collected</t>
  </si>
  <si>
    <t xml:space="preserve">Estimate. Some clients will dispute or block the PAD. Signed mandate + PAD before submitting the file protects this.</t>
  </si>
  <si>
    <t xml:space="preserve">Commission the lender pays AFN</t>
  </si>
  <si>
    <t xml:space="preserve">% of funded</t>
  </si>
  <si>
    <t xml:space="preserve">UNKNOWN: not stated in the agreement. Ask Amir what AFN typically receives per deal. Biggest uncertainty in this model.</t>
  </si>
  <si>
    <t xml:space="preserve">Your share of AFN's commission</t>
  </si>
  <si>
    <t xml:space="preserve">Schedule A of the AFN Partner Agreement (signed 2026-09-24): 50%, initial and renewals; 'subject to reconsideration'.</t>
  </si>
  <si>
    <t xml:space="preserve">Deals defaulting within 45 days</t>
  </si>
  <si>
    <t xml:space="preserve">Schedule A: no AFN commission (and clawback) if client defaults within 45 days. Rate is an estimate.</t>
  </si>
  <si>
    <t xml:space="preserve">Funded clients who renew</t>
  </si>
  <si>
    <t xml:space="preserve">Estimate. Renewals cost no ad spend; AFN pays your 50% on renewals (Schedule A) if you send 2+ new merchants per year.</t>
  </si>
  <si>
    <t xml:space="preserve">Months until renewal</t>
  </si>
  <si>
    <t xml:space="preserve">months</t>
  </si>
  <si>
    <t xml:space="preserve">Estimate: renewals usually come once ~half the advance is repaid.</t>
  </si>
  <si>
    <t xml:space="preserve">Charge the 6% client fee on renewals? (1 = yes, 0 = no)</t>
  </si>
  <si>
    <t xml:space="preserve">1/0</t>
  </si>
  <si>
    <t xml:space="preserve">Your mandate's 6-month tail covers some renewals; a new mandate would be needed after that. Conservative/base assume no.</t>
  </si>
  <si>
    <t xml:space="preserve">Fixed costs per month</t>
  </si>
  <si>
    <t xml:space="preserve">From the /financials page (phone/SMS, hosting, bookkeeping, insurance, software, office). Excludes your own pay.</t>
  </si>
  <si>
    <t xml:space="preserve">Variable cost per funded deal</t>
  </si>
  <si>
    <t xml:space="preserve">PAD processing, e-signature, bank-data API.</t>
  </si>
  <si>
    <t xml:space="preserve">Unit economics (calculated)</t>
  </si>
  <si>
    <t xml:space="preserve">Client fee collected + your share of AFN commission, net of 45-day defaults.</t>
  </si>
  <si>
    <t xml:space="preserve">Revenue as % of amount funded</t>
  </si>
  <si>
    <t xml:space="preserve">Cost per lead / conversion.</t>
  </si>
  <si>
    <t xml:space="preserve">Profit per new funded deal (before fixed costs)</t>
  </si>
  <si>
    <t xml:space="preserve">If this is negative, more ad spend = bigger losses.</t>
  </si>
  <si>
    <t xml:space="preserve">Max cost per lead to break even on a deal</t>
  </si>
  <si>
    <t xml:space="preserve">Track your real cost per lead against this number from week 1.</t>
  </si>
  <si>
    <t xml:space="preserve">Annual funded volume needed for $1M profit/yr (new deals only)</t>
  </si>
  <si>
    <t xml:space="preserve">Steady state, ignores renewals (which make it easier).</t>
  </si>
  <si>
    <t xml:space="preserve">Funded deals per month needed for $1M profit/yr</t>
  </si>
  <si>
    <t xml:space="preserve">deals</t>
  </si>
  <si>
    <t xml:space="preserve">Conservative scenario: monthly projection (CAD)</t>
  </si>
  <si>
    <t xml:space="preserve">All inputs come from column C of the Assumptions tab (green = linked). Profit is before income tax and before paying yourself.</t>
  </si>
  <si>
    <t xml:space="preserve">Month</t>
  </si>
  <si>
    <t xml:space="preserve">Year 1</t>
  </si>
  <si>
    <t xml:space="preserve">Year 2</t>
  </si>
  <si>
    <t xml:space="preserve">24 months</t>
  </si>
  <si>
    <t xml:space="preserve">Leads</t>
  </si>
  <si>
    <t xml:space="preserve">New funded deals</t>
  </si>
  <si>
    <t xml:space="preserve">New funded volume</t>
  </si>
  <si>
    <t xml:space="preserve">Renewal deals</t>
  </si>
  <si>
    <t xml:space="preserve">Renewal volume</t>
  </si>
  <si>
    <t xml:space="preserve">Total funded volume</t>
  </si>
  <si>
    <t xml:space="preserve">Revenue</t>
  </si>
  <si>
    <t xml:space="preserve">Costs</t>
  </si>
  <si>
    <t xml:space="preserve">Total costs</t>
  </si>
  <si>
    <t xml:space="preserve">Cumulative net profit</t>
  </si>
  <si>
    <t xml:space="preserve">Metrics</t>
  </si>
  <si>
    <t xml:space="preserve">Ad spend per new funded deal</t>
  </si>
  <si>
    <t xml:space="preserve">Revenue per funded deal</t>
  </si>
  <si>
    <t xml:space="preserve">Base scenario: monthly projection (CAD)</t>
  </si>
  <si>
    <t xml:space="preserve">All inputs come from column D of the Assumptions tab (green = linked). Profit is before income tax and before paying yourself.</t>
  </si>
  <si>
    <t xml:space="preserve">Strong scenario: monthly projection (CAD)</t>
  </si>
  <si>
    <t xml:space="preserve">All inputs come from column E of the Assumptions tab (green = linked). Profit is before income tax and before paying yourself.</t>
  </si>
  <si>
    <t xml:space="preserve">Benchmark: Primed Loans (Laval, QC), estimate from public, self-reported figures</t>
  </si>
  <si>
    <t xml:space="preserve">Primed Loans' own website was not reachable from this environment; figures come from search-result summaries of the pages below (retrieved 2026-10-01). Marketing claims are unaudited. Revenue/income is an ESTIMATE, not a fact.</t>
  </si>
  <si>
    <t xml:space="preserve">Item</t>
  </si>
  <si>
    <t xml:space="preserve">Value</t>
  </si>
  <si>
    <t xml:space="preserve">Funds facilitated in 2023 (claimed)</t>
  </si>
  <si>
    <t xml:space="preserve">Source: loanscanada.ca/lender/primed-loans (company profile, search summary)</t>
  </si>
  <si>
    <t xml:space="preserve">Applications processed in 2023 (claimed)</t>
  </si>
  <si>
    <t xml:space="preserve">Approval rate (claimed)</t>
  </si>
  <si>
    <t xml:space="preserve">Source: loanscanada.ca/lender/primed-loans (company profile, search summary). Inconsistent with the implied funded rate below.</t>
  </si>
  <si>
    <t xml:space="preserve">Total funded since start (claimed)</t>
  </si>
  <si>
    <t xml:space="preserve">Source: smarter.loans/lenders/primed-loans (company profile, search summary)</t>
  </si>
  <si>
    <t xml:space="preserve">Total funded loans since start (claimed)</t>
  </si>
  <si>
    <t xml:space="preserve">In business since</t>
  </si>
  <si>
    <t xml:space="preserve">2018</t>
  </si>
  <si>
    <t xml:space="preserve">Source: zoominfo.com/c/primed-loans/503155603 (third-party estimate, often rough)</t>
  </si>
  <si>
    <t xml:space="preserve">Employees (third-party estimate)</t>
  </si>
  <si>
    <t xml:space="preserve">1-10</t>
  </si>
  <si>
    <t xml:space="preserve">Revenue (third-party estimate)</t>
  </si>
  <si>
    <t xml:space="preserve">&lt; $5M</t>
  </si>
  <si>
    <t xml:space="preserve">Implied by their own numbers</t>
  </si>
  <si>
    <t xml:space="preserve">Much larger than a typical cash advance: suggests many bank/CSBFP/equipment deals in the mix.</t>
  </si>
  <si>
    <t xml:space="preserve">Implied funded deals in 2023</t>
  </si>
  <si>
    <t xml:space="preserve">2023 volume / average deal.</t>
  </si>
  <si>
    <t xml:space="preserve">Implied application-to-funded rate</t>
  </si>
  <si>
    <t xml:space="preserve">Roughly 4%, far from the 97% 'approval rate' they advertise.</t>
  </si>
  <si>
    <t xml:space="preserve">Implied funded deals per month</t>
  </si>
  <si>
    <t xml:space="preserve">2023 estimate (CAD)</t>
  </si>
  <si>
    <t xml:space="preserve">Low</t>
  </si>
  <si>
    <t xml:space="preserve">Mid</t>
  </si>
  <si>
    <t xml:space="preserve">High</t>
  </si>
  <si>
    <t xml:space="preserve">Blended broker revenue as % of volume</t>
  </si>
  <si>
    <t xml:space="preserve">Assumption: bank/CSBFP loans pay ~1-2%, cash advances ~8-15%; the mix is unknown.</t>
  </si>
  <si>
    <t xml:space="preserve">Gross revenue (estimate)</t>
  </si>
  <si>
    <t xml:space="preserve">Left for the owner after ads, staff and rep commissions</t>
  </si>
  <si>
    <t xml:space="preserve">Assumption: ~17,000 paid leads/yr is a large ad budget; reps typically keep 30-50% of what they close.</t>
  </si>
  <si>
    <t xml:space="preserve">Owner pre-tax income (estimate)</t>
  </si>
  <si>
    <t xml:space="preserve">What it would take you to match the mid estimate</t>
  </si>
  <si>
    <t xml:space="preserve">Your annual funded volume needed (base case unit economics)</t>
  </si>
  <si>
    <t xml:space="preserve">Mid owner income / your profit per $ funded (base case, new deals only, before fixed costs).</t>
  </si>
  <si>
    <t xml:space="preserve">That is, funded deals per month</t>
  </si>
  <si>
    <t xml:space="preserve">As a share of Primed Loans' implied 2023 volume</t>
  </si>
  <si>
    <t xml:space="preserve">Your take per dollar funded is higher (MCA + 6% fee), so you need far less volume than they do.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</si>
</sst>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\$#,##0;&quot;($&quot;#,##0\);\-"/>
    <numFmt numFmtId="167" formatCode="#,##0.0;\(#,##0.0\);\-"/>
    <numFmt numFmtId="168" formatCode="#,##0;\(#,##0\);\-"/>
    <numFmt numFmtId="169" formatCode="\$#,##0;&quot;($&quot;#,##0\);\-"/>
    <numFmt numFmtId="170" formatCode="0.0%;\(0.0%\);\-"/>
    <numFmt numFmtId="171" formatCode="#,##0.0;\(#,##0.0\);\-"/>
    <numFmt numFmtId="172" formatCode="0.0%;\(0.0%\);\-"/>
    <numFmt numFmtId="173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/>
      <c r="C5" s="6"/>
      <c r="D5" s="6"/>
    </row>
    <row r="6" customFormat="false" ht="15" hidden="false" customHeight="true" outlineLevel="0" collapsed="false">
      <c r="A6" s="7" t="s">
        <v>7</v>
      </c>
      <c r="B6" s="8" t="n">
        <f aca="false">Conservative!AA7+Conservative!AA9</f>
        <v>11.025</v>
      </c>
      <c r="C6" s="8" t="n">
        <f aca="false">Base!AA7+Base!AA9</f>
        <v>68.2211538461539</v>
      </c>
      <c r="D6" s="8" t="n">
        <f aca="false">Strong!AA7+Strong!AA9</f>
        <v>240.975</v>
      </c>
    </row>
    <row r="7" customFormat="false" ht="15" hidden="false" customHeight="true" outlineLevel="0" collapsed="false">
      <c r="A7" s="7" t="s">
        <v>8</v>
      </c>
      <c r="B7" s="9" t="n">
        <f aca="false">Conservative!AA11</f>
        <v>385875</v>
      </c>
      <c r="C7" s="9" t="n">
        <f aca="false">Base!AA11</f>
        <v>3411057.69230769</v>
      </c>
      <c r="D7" s="9" t="n">
        <f aca="false">Strong!AA11</f>
        <v>15663375</v>
      </c>
    </row>
    <row r="8" customFormat="false" ht="15" hidden="false" customHeight="true" outlineLevel="0" collapsed="false">
      <c r="A8" s="7" t="s">
        <v>9</v>
      </c>
      <c r="B8" s="9" t="n">
        <f aca="false">Conservative!AA13</f>
        <v>18340.875</v>
      </c>
      <c r="C8" s="9" t="n">
        <f aca="false">Base!AA13</f>
        <v>168784.615384615</v>
      </c>
      <c r="D8" s="9" t="n">
        <f aca="false">Strong!AA13</f>
        <v>911608.425</v>
      </c>
    </row>
    <row r="9" customFormat="false" ht="15" hidden="false" customHeight="true" outlineLevel="0" collapsed="false">
      <c r="A9" s="7" t="s">
        <v>10</v>
      </c>
      <c r="B9" s="9" t="n">
        <f aca="false">Conservative!AA14</f>
        <v>10650.15</v>
      </c>
      <c r="C9" s="9" t="n">
        <f aca="false">Base!AA14</f>
        <v>129620.192307692</v>
      </c>
      <c r="D9" s="9" t="n">
        <f aca="false">Strong!AA14</f>
        <v>759673.6875</v>
      </c>
    </row>
    <row r="10" customFormat="false" ht="15" hidden="false" customHeight="true" outlineLevel="0" collapsed="false">
      <c r="A10" s="10" t="s">
        <v>11</v>
      </c>
      <c r="B10" s="11" t="n">
        <f aca="false">Conservative!AA15</f>
        <v>28991.025</v>
      </c>
      <c r="C10" s="11" t="n">
        <f aca="false">Base!AA15</f>
        <v>298404.807692308</v>
      </c>
      <c r="D10" s="11" t="n">
        <f aca="false">Strong!AA15</f>
        <v>1671282.1125</v>
      </c>
    </row>
    <row r="11" customFormat="false" ht="15" hidden="false" customHeight="true" outlineLevel="0" collapsed="false">
      <c r="A11" s="7" t="s">
        <v>12</v>
      </c>
      <c r="B11" s="9" t="n">
        <f aca="false">Conservative!AA17</f>
        <v>68500</v>
      </c>
      <c r="C11" s="9" t="n">
        <f aca="false">Base!AA17</f>
        <v>159000</v>
      </c>
      <c r="D11" s="9" t="n">
        <f aca="false">Strong!AA17</f>
        <v>261000</v>
      </c>
    </row>
    <row r="12" customFormat="false" ht="15" hidden="false" customHeight="true" outlineLevel="0" collapsed="false">
      <c r="A12" s="10" t="s">
        <v>13</v>
      </c>
      <c r="B12" s="11" t="n">
        <f aca="false">Conservative!AA21</f>
        <v>-58611.475</v>
      </c>
      <c r="C12" s="11" t="n">
        <f aca="false">Base!AA21</f>
        <v>115264.903846154</v>
      </c>
      <c r="D12" s="11" t="n">
        <f aca="false">Strong!AA21</f>
        <v>1364594.3625</v>
      </c>
    </row>
    <row r="13" customFormat="false" ht="15" hidden="false" customHeight="true" outlineLevel="0" collapsed="false">
      <c r="A13" s="5" t="s">
        <v>14</v>
      </c>
      <c r="B13" s="6"/>
      <c r="C13" s="6"/>
      <c r="D13" s="6"/>
    </row>
    <row r="14" customFormat="false" ht="15" hidden="false" customHeight="true" outlineLevel="0" collapsed="false">
      <c r="A14" s="7" t="s">
        <v>7</v>
      </c>
      <c r="B14" s="8" t="n">
        <f aca="false">Conservative!AB7+Conservative!AB9</f>
        <v>17.71875</v>
      </c>
      <c r="C14" s="8" t="n">
        <f aca="false">Base!AB7+Base!AB9</f>
        <v>148.615384615385</v>
      </c>
      <c r="D14" s="8" t="n">
        <f aca="false">Strong!AB7+Strong!AB9</f>
        <v>522.452777777778</v>
      </c>
    </row>
    <row r="15" customFormat="false" ht="15" hidden="false" customHeight="true" outlineLevel="0" collapsed="false">
      <c r="A15" s="7" t="s">
        <v>8</v>
      </c>
      <c r="B15" s="9" t="n">
        <f aca="false">Conservative!AB11</f>
        <v>620156.25</v>
      </c>
      <c r="C15" s="9" t="n">
        <f aca="false">Base!AB11</f>
        <v>7430769.23076923</v>
      </c>
      <c r="D15" s="9" t="n">
        <f aca="false">Strong!AB11</f>
        <v>33959430.5555556</v>
      </c>
    </row>
    <row r="16" customFormat="false" ht="15" hidden="false" customHeight="true" outlineLevel="0" collapsed="false">
      <c r="A16" s="10" t="s">
        <v>11</v>
      </c>
      <c r="B16" s="11" t="n">
        <f aca="false">Conservative!AB15</f>
        <v>42820.3125</v>
      </c>
      <c r="C16" s="11" t="n">
        <f aca="false">Base!AB15</f>
        <v>598176.923076923</v>
      </c>
      <c r="D16" s="11" t="n">
        <f aca="false">Strong!AB15</f>
        <v>3623471.24027778</v>
      </c>
    </row>
    <row r="17" customFormat="false" ht="15" hidden="false" customHeight="true" outlineLevel="0" collapsed="false">
      <c r="A17" s="7" t="s">
        <v>12</v>
      </c>
      <c r="B17" s="9" t="n">
        <f aca="false">Conservative!AB17</f>
        <v>96000</v>
      </c>
      <c r="C17" s="9" t="n">
        <f aca="false">Base!AB17</f>
        <v>297500</v>
      </c>
      <c r="D17" s="9" t="n">
        <f aca="false">Strong!AB17</f>
        <v>478000</v>
      </c>
    </row>
    <row r="18" customFormat="false" ht="15" hidden="false" customHeight="true" outlineLevel="0" collapsed="false">
      <c r="A18" s="10" t="s">
        <v>13</v>
      </c>
      <c r="B18" s="11" t="n">
        <f aca="false">Conservative!AB21</f>
        <v>-72951.5625</v>
      </c>
      <c r="C18" s="11" t="n">
        <f aca="false">Base!AB21</f>
        <v>269301.538461539</v>
      </c>
      <c r="D18" s="11" t="n">
        <f aca="false">Strong!AB21</f>
        <v>3074450.49027778</v>
      </c>
    </row>
    <row r="19" customFormat="false" ht="15" hidden="false" customHeight="true" outlineLevel="0" collapsed="false">
      <c r="A19" s="5" t="s">
        <v>15</v>
      </c>
      <c r="B19" s="6"/>
      <c r="C19" s="6"/>
      <c r="D19" s="6"/>
    </row>
    <row r="20" customFormat="false" ht="15" hidden="false" customHeight="true" outlineLevel="0" collapsed="false">
      <c r="A20" s="7" t="s">
        <v>16</v>
      </c>
      <c r="B20" s="9" t="n">
        <f aca="false">Conservative!Z15</f>
        <v>3591</v>
      </c>
      <c r="C20" s="9" t="n">
        <f aca="false">Base!Z15</f>
        <v>51201.9230769231</v>
      </c>
      <c r="D20" s="9" t="n">
        <f aca="false">Strong!Z15</f>
        <v>312868.111111111</v>
      </c>
    </row>
    <row r="21" customFormat="false" ht="15" hidden="false" customHeight="true" outlineLevel="0" collapsed="false">
      <c r="A21" s="7" t="s">
        <v>17</v>
      </c>
      <c r="B21" s="9" t="n">
        <f aca="false">Conservative!Z21</f>
        <v>-6059</v>
      </c>
      <c r="C21" s="9" t="n">
        <f aca="false">Base!Z21</f>
        <v>23533.6538461538</v>
      </c>
      <c r="D21" s="9" t="n">
        <f aca="false">Strong!Z21</f>
        <v>266808.111111111</v>
      </c>
    </row>
    <row r="22" customFormat="false" ht="15" hidden="false" customHeight="true" outlineLevel="0" collapsed="false">
      <c r="A22" s="7" t="s">
        <v>18</v>
      </c>
      <c r="B22" s="12" t="n">
        <f aca="false">Conservative!Z26</f>
        <v>1.84331797235023</v>
      </c>
      <c r="C22" s="12" t="n">
        <f aca="false">Base!Z26</f>
        <v>8.86210563629919</v>
      </c>
      <c r="D22" s="12" t="n">
        <f aca="false">Strong!Z26</f>
        <v>20.4813108038915</v>
      </c>
    </row>
    <row r="23" customFormat="false" ht="15" hidden="false" customHeight="true" outlineLevel="0" collapsed="false">
      <c r="A23" s="5" t="s">
        <v>19</v>
      </c>
      <c r="B23" s="6"/>
      <c r="C23" s="6"/>
      <c r="D23" s="6"/>
    </row>
    <row r="24" customFormat="false" ht="15" hidden="false" customHeight="true" outlineLevel="0" collapsed="false">
      <c r="A24" s="7" t="s">
        <v>20</v>
      </c>
      <c r="B24" s="9" t="n">
        <f aca="false">Assumptions!C23</f>
        <v>2751</v>
      </c>
      <c r="C24" s="9" t="n">
        <f aca="false">Assumptions!D23</f>
        <v>4660</v>
      </c>
      <c r="D24" s="9" t="n">
        <f aca="false">Assumptions!E23</f>
        <v>6935.5</v>
      </c>
    </row>
    <row r="25" customFormat="false" ht="15" hidden="false" customHeight="true" outlineLevel="0" collapsed="false">
      <c r="A25" s="7" t="s">
        <v>21</v>
      </c>
      <c r="B25" s="9" t="n">
        <f aca="false">Assumptions!C25</f>
        <v>6666.66666666667</v>
      </c>
      <c r="C25" s="9" t="n">
        <f aca="false">Assumptions!D25</f>
        <v>2600</v>
      </c>
      <c r="D25" s="9" t="n">
        <f aca="false">Assumptions!E25</f>
        <v>1285.71428571429</v>
      </c>
    </row>
    <row r="26" customFormat="false" ht="15" hidden="false" customHeight="true" outlineLevel="0" collapsed="false">
      <c r="A26" s="7" t="s">
        <v>22</v>
      </c>
      <c r="B26" s="9" t="n">
        <f aca="false">Assumptions!C26</f>
        <v>-4015.66666666667</v>
      </c>
      <c r="C26" s="9" t="n">
        <f aca="false">Assumptions!D26</f>
        <v>1970</v>
      </c>
      <c r="D26" s="9" t="n">
        <f aca="false">Assumptions!E26</f>
        <v>5559.78571428571</v>
      </c>
    </row>
    <row r="27" customFormat="false" ht="15" hidden="false" customHeight="true" outlineLevel="0" collapsed="false">
      <c r="A27" s="7" t="s">
        <v>23</v>
      </c>
      <c r="B27" s="9" t="n">
        <f aca="false">Assumptions!C27</f>
        <v>79.53</v>
      </c>
      <c r="C27" s="9" t="n">
        <f aca="false">Assumptions!D27</f>
        <v>228.5</v>
      </c>
      <c r="D27" s="9" t="n">
        <f aca="false">Assumptions!E27</f>
        <v>479.185</v>
      </c>
    </row>
    <row r="28" customFormat="false" ht="15" hidden="false" customHeight="true" outlineLevel="0" collapsed="false">
      <c r="A28" s="7" t="s">
        <v>24</v>
      </c>
      <c r="B28" s="12" t="str">
        <f aca="false">Assumptions!C29</f>
        <v>Not reachable</v>
      </c>
      <c r="C28" s="12" t="n">
        <f aca="false">Assumptions!D29</f>
        <v>43.0626057529611</v>
      </c>
      <c r="D28" s="12" t="n">
        <f aca="false">Assumptions!E29</f>
        <v>15.3483133556877</v>
      </c>
    </row>
    <row r="30" customFormat="false" ht="15" hidden="false" customHeight="true" outlineLevel="0" collapsed="false">
      <c r="A30" s="10" t="s">
        <v>25</v>
      </c>
    </row>
    <row r="31" customFormat="false" ht="15" hidden="false" customHeight="true" outlineLevel="0" collapsed="false">
      <c r="A31" s="3" t="s">
        <v>26</v>
      </c>
    </row>
    <row r="32" customFormat="false" ht="15" hidden="false" customHeight="true" outlineLevel="0" collapsed="false">
      <c r="A32" s="3" t="s">
        <v>27</v>
      </c>
    </row>
    <row r="33" customFormat="false" ht="15" hidden="false" customHeight="true" outlineLevel="0" collapsed="false">
      <c r="A33" s="3" t="s">
        <v>28</v>
      </c>
    </row>
    <row r="34" customFormat="false" ht="15" hidden="false" customHeight="true" outlineLevel="0" collapsed="false">
      <c r="A34" s="3" t="s">
        <v>29</v>
      </c>
    </row>
    <row r="35" customFormat="false" ht="15" hidden="false" customHeight="true" outlineLevel="0" collapsed="false">
      <c r="A35" s="3" t="s">
        <v>30</v>
      </c>
    </row>
    <row r="36" customFormat="false" ht="15" hidden="false" customHeight="true" outlineLevel="0" collapsed="false">
      <c r="A36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3" t="s">
        <v>32</v>
      </c>
    </row>
    <row r="2" customFormat="false" ht="15" hidden="false" customHeight="false" outlineLevel="0" collapsed="false">
      <c r="A2" s="14" t="s">
        <v>33</v>
      </c>
    </row>
    <row r="4" customFormat="false" ht="15" hidden="false" customHeight="false" outlineLevel="0" collapsed="false">
      <c r="A4" s="15" t="s">
        <v>34</v>
      </c>
      <c r="B4" s="16"/>
      <c r="C4" s="16"/>
    </row>
    <row r="5" customFormat="false" ht="15" hidden="false" customHeight="false" outlineLevel="0" collapsed="false">
      <c r="A5" s="17" t="s">
        <v>35</v>
      </c>
      <c r="B5" s="18" t="n">
        <v>30</v>
      </c>
      <c r="C5" s="14" t="s">
        <v>36</v>
      </c>
    </row>
    <row r="6" customFormat="false" ht="15" hidden="false" customHeight="false" outlineLevel="0" collapsed="false">
      <c r="A6" s="17" t="s">
        <v>37</v>
      </c>
      <c r="B6" s="19" t="n">
        <f aca="false">Assumptions!D5</f>
        <v>50000</v>
      </c>
      <c r="C6" s="14" t="s">
        <v>38</v>
      </c>
    </row>
    <row r="7" customFormat="false" ht="15" hidden="false" customHeight="false" outlineLevel="0" collapsed="false">
      <c r="A7" s="17" t="s">
        <v>39</v>
      </c>
      <c r="B7" s="19" t="n">
        <f aca="false">Assumptions!D6</f>
        <v>130</v>
      </c>
      <c r="C7" s="14" t="s">
        <v>40</v>
      </c>
    </row>
    <row r="8" customFormat="false" ht="15" hidden="false" customHeight="false" outlineLevel="0" collapsed="false">
      <c r="A8" s="17" t="s">
        <v>41</v>
      </c>
      <c r="B8" s="20" t="n">
        <f aca="false">Assumptions!D7</f>
        <v>0.05</v>
      </c>
      <c r="C8" s="14" t="s">
        <v>38</v>
      </c>
    </row>
    <row r="9" customFormat="false" ht="15" hidden="false" customHeight="false" outlineLevel="0" collapsed="false">
      <c r="A9" s="17" t="s">
        <v>42</v>
      </c>
      <c r="B9" s="21" t="n">
        <v>21.7</v>
      </c>
      <c r="C9" s="14"/>
    </row>
    <row r="10" customFormat="false" ht="15" hidden="false" customHeight="false" outlineLevel="0" collapsed="false">
      <c r="A10" s="17" t="s">
        <v>43</v>
      </c>
      <c r="B10" s="18" t="n">
        <v>15</v>
      </c>
      <c r="C10" s="14" t="s">
        <v>44</v>
      </c>
    </row>
    <row r="12" customFormat="false" ht="15" hidden="false" customHeight="false" outlineLevel="0" collapsed="false">
      <c r="A12" s="15" t="s">
        <v>45</v>
      </c>
      <c r="B12" s="16"/>
      <c r="C12" s="16"/>
    </row>
    <row r="13" customFormat="false" ht="15" hidden="false" customHeight="false" outlineLevel="0" collapsed="false">
      <c r="A13" s="17" t="s">
        <v>46</v>
      </c>
      <c r="B13" s="22" t="n">
        <f aca="false">B5/B8</f>
        <v>600</v>
      </c>
      <c r="C13" s="14"/>
    </row>
    <row r="14" customFormat="false" ht="15" hidden="false" customHeight="false" outlineLevel="0" collapsed="false">
      <c r="A14" s="23" t="s">
        <v>18</v>
      </c>
      <c r="B14" s="24" t="n">
        <f aca="false">B13/B9</f>
        <v>27.6497695852535</v>
      </c>
      <c r="C14" s="14"/>
    </row>
    <row r="15" customFormat="false" ht="15" hidden="false" customHeight="false" outlineLevel="0" collapsed="false">
      <c r="A15" s="17" t="s">
        <v>47</v>
      </c>
      <c r="B15" s="22" t="n">
        <f aca="false">ROUNDUP(B14/B10,0)</f>
        <v>2</v>
      </c>
      <c r="C15" s="14" t="s">
        <v>48</v>
      </c>
    </row>
    <row r="16" customFormat="false" ht="15" hidden="false" customHeight="false" outlineLevel="0" collapsed="false">
      <c r="A16" s="23" t="s">
        <v>49</v>
      </c>
      <c r="B16" s="25" t="n">
        <f aca="false">B13*B7</f>
        <v>78000</v>
      </c>
      <c r="C16" s="14" t="s">
        <v>50</v>
      </c>
    </row>
    <row r="17" customFormat="false" ht="15" hidden="false" customHeight="false" outlineLevel="0" collapsed="false">
      <c r="A17" s="17" t="s">
        <v>8</v>
      </c>
      <c r="B17" s="25" t="n">
        <f aca="false">B5*B6</f>
        <v>1500000</v>
      </c>
      <c r="C17" s="14"/>
    </row>
    <row r="18" customFormat="false" ht="15" hidden="false" customHeight="false" outlineLevel="0" collapsed="false">
      <c r="A18" s="17" t="s">
        <v>51</v>
      </c>
      <c r="B18" s="25" t="n">
        <f aca="false">B17*Assumptions!D11*Assumptions!D12</f>
        <v>82800</v>
      </c>
      <c r="C18" s="14" t="s">
        <v>52</v>
      </c>
    </row>
    <row r="19" customFormat="false" ht="15" hidden="false" customHeight="false" outlineLevel="0" collapsed="false">
      <c r="A19" s="17" t="s">
        <v>53</v>
      </c>
      <c r="B19" s="25" t="n">
        <f aca="false">B17*Assumptions!D13*Assumptions!D14*(1-Assumptions!D15)</f>
        <v>57000</v>
      </c>
      <c r="C19" s="14" t="s">
        <v>54</v>
      </c>
    </row>
    <row r="20" customFormat="false" ht="15" hidden="false" customHeight="false" outlineLevel="0" collapsed="false">
      <c r="A20" s="17" t="s">
        <v>11</v>
      </c>
      <c r="B20" s="25" t="n">
        <f aca="false">B18+B19</f>
        <v>139800</v>
      </c>
      <c r="C20" s="14"/>
    </row>
    <row r="21" customFormat="false" ht="15" hidden="false" customHeight="false" outlineLevel="0" collapsed="false">
      <c r="A21" s="17" t="s">
        <v>55</v>
      </c>
      <c r="B21" s="25" t="n">
        <f aca="false">B5*Assumptions!D20</f>
        <v>2700</v>
      </c>
      <c r="C21" s="14"/>
    </row>
    <row r="22" customFormat="false" ht="15" hidden="false" customHeight="false" outlineLevel="0" collapsed="false">
      <c r="A22" s="17" t="s">
        <v>56</v>
      </c>
      <c r="B22" s="25" t="n">
        <f aca="false">Assumptions!D19</f>
        <v>1500</v>
      </c>
      <c r="C22" s="14"/>
    </row>
    <row r="23" customFormat="false" ht="15" hidden="false" customHeight="false" outlineLevel="0" collapsed="false">
      <c r="A23" s="23" t="s">
        <v>57</v>
      </c>
      <c r="B23" s="26" t="n">
        <f aca="false">B20-B16-B21-B22</f>
        <v>57600</v>
      </c>
      <c r="C23" s="14" t="s">
        <v>58</v>
      </c>
    </row>
    <row r="24" customFormat="false" ht="15" hidden="false" customHeight="false" outlineLevel="0" collapsed="false">
      <c r="A24" s="23" t="s">
        <v>59</v>
      </c>
      <c r="B24" s="26" t="n">
        <f aca="false">B23*12</f>
        <v>691200</v>
      </c>
      <c r="C24" s="14"/>
    </row>
    <row r="26" customFormat="false" ht="15" hidden="false" customHeight="false" outlineLevel="0" collapsed="false">
      <c r="A26" s="15" t="s">
        <v>60</v>
      </c>
      <c r="B26" s="16"/>
      <c r="C26" s="16"/>
    </row>
    <row r="27" customFormat="false" ht="15" hidden="false" customHeight="false" outlineLevel="0" collapsed="false">
      <c r="A27" s="17" t="s">
        <v>61</v>
      </c>
      <c r="B27" s="24" t="n">
        <f aca="false">B5*Assumptions!D16</f>
        <v>10.5</v>
      </c>
      <c r="C27" s="14" t="s">
        <v>62</v>
      </c>
    </row>
    <row r="28" customFormat="false" ht="15" hidden="false" customHeight="false" outlineLevel="0" collapsed="false">
      <c r="A28" s="17" t="s">
        <v>63</v>
      </c>
      <c r="B28" s="25" t="n">
        <f aca="false">B27*B6*(Assumptions!D13*Assumptions!D14*(1-Assumptions!D15)+Assumptions!D18*Assumptions!D11*Assumptions!D12)</f>
        <v>19950</v>
      </c>
      <c r="C28" s="14" t="s">
        <v>64</v>
      </c>
    </row>
    <row r="29" customFormat="false" ht="15" hidden="false" customHeight="false" outlineLevel="0" collapsed="false">
      <c r="A29" s="23" t="s">
        <v>65</v>
      </c>
      <c r="B29" s="26" t="n">
        <f aca="false">B23+B28-B27*Assumptions!D20</f>
        <v>76605</v>
      </c>
      <c r="C29" s="14"/>
    </row>
    <row r="30" customFormat="false" ht="15" hidden="false" customHeight="false" outlineLevel="0" collapsed="false">
      <c r="A30" s="23" t="s">
        <v>66</v>
      </c>
      <c r="B30" s="26" t="n">
        <f aca="false">B29*12</f>
        <v>919260</v>
      </c>
      <c r="C30" s="14"/>
    </row>
    <row r="33" customFormat="false" ht="15" hidden="false" customHeight="false" outlineLevel="0" collapsed="false">
      <c r="A33" s="23" t="s">
        <v>67</v>
      </c>
    </row>
    <row r="34" customFormat="false" ht="15" hidden="false" customHeight="false" outlineLevel="0" collapsed="false">
      <c r="A34" s="15" t="s">
        <v>68</v>
      </c>
      <c r="B34" s="27" t="n">
        <v>90</v>
      </c>
      <c r="C34" s="27" t="n">
        <v>130</v>
      </c>
      <c r="D34" s="27" t="n">
        <v>200</v>
      </c>
    </row>
    <row r="35" customFormat="false" ht="15" hidden="false" customHeight="false" outlineLevel="0" collapsed="false">
      <c r="A35" s="28" t="n">
        <v>0.03</v>
      </c>
      <c r="B35" s="29" t="n">
        <f aca="false">$B$5/$A35*B$34</f>
        <v>90000</v>
      </c>
      <c r="C35" s="29" t="n">
        <f aca="false">$B$5/$A35*C$34</f>
        <v>130000</v>
      </c>
      <c r="D35" s="29" t="n">
        <f aca="false">$B$5/$A35*D$34</f>
        <v>200000</v>
      </c>
    </row>
    <row r="36" customFormat="false" ht="15" hidden="false" customHeight="false" outlineLevel="0" collapsed="false">
      <c r="A36" s="28" t="n">
        <v>0.05</v>
      </c>
      <c r="B36" s="29" t="n">
        <f aca="false">$B$5/$A36*B$34</f>
        <v>54000</v>
      </c>
      <c r="C36" s="29" t="n">
        <f aca="false">$B$5/$A36*C$34</f>
        <v>78000</v>
      </c>
      <c r="D36" s="29" t="n">
        <f aca="false">$B$5/$A36*D$34</f>
        <v>120000</v>
      </c>
    </row>
    <row r="37" customFormat="false" ht="15" hidden="false" customHeight="false" outlineLevel="0" collapsed="false">
      <c r="A37" s="28" t="n">
        <v>0.07</v>
      </c>
      <c r="B37" s="29" t="n">
        <f aca="false">$B$5/$A37*B$34</f>
        <v>38571.4285714286</v>
      </c>
      <c r="C37" s="29" t="n">
        <f aca="false">$B$5/$A37*C$34</f>
        <v>55714.2857142857</v>
      </c>
      <c r="D37" s="29" t="n">
        <f aca="false">$B$5/$A37*D$34</f>
        <v>85714.2857142857</v>
      </c>
    </row>
    <row r="38" customFormat="false" ht="15" hidden="false" customHeight="false" outlineLevel="0" collapsed="false">
      <c r="A38" s="28" t="n">
        <v>0.1</v>
      </c>
      <c r="B38" s="29" t="n">
        <f aca="false">$B$5/$A38*B$34</f>
        <v>27000</v>
      </c>
      <c r="C38" s="29" t="n">
        <f aca="false">$B$5/$A38*C$34</f>
        <v>39000</v>
      </c>
      <c r="D38" s="29" t="n">
        <f aca="false">$B$5/$A38*D$34</f>
        <v>60000</v>
      </c>
    </row>
    <row r="40" customFormat="false" ht="15" hidden="false" customHeight="false" outlineLevel="0" collapsed="false">
      <c r="A40" s="23" t="s">
        <v>69</v>
      </c>
    </row>
    <row r="41" customFormat="false" ht="15" hidden="false" customHeight="false" outlineLevel="0" collapsed="false">
      <c r="A41" s="15" t="s">
        <v>68</v>
      </c>
      <c r="B41" s="27" t="n">
        <v>90</v>
      </c>
      <c r="C41" s="27" t="n">
        <v>130</v>
      </c>
      <c r="D41" s="27" t="n">
        <v>200</v>
      </c>
    </row>
    <row r="42" customFormat="false" ht="15" hidden="false" customHeight="false" outlineLevel="0" collapsed="false">
      <c r="A42" s="28" t="n">
        <v>0.03</v>
      </c>
      <c r="B42" s="29" t="n">
        <f aca="false">$B$20-$B$21-$B$22-$B$5/$A42*B$41</f>
        <v>45600</v>
      </c>
      <c r="C42" s="29" t="n">
        <f aca="false">$B$20-$B$21-$B$22-$B$5/$A42*C$41</f>
        <v>5600</v>
      </c>
      <c r="D42" s="29" t="n">
        <f aca="false">$B$20-$B$21-$B$22-$B$5/$A42*D$41</f>
        <v>-64400</v>
      </c>
    </row>
    <row r="43" customFormat="false" ht="15" hidden="false" customHeight="false" outlineLevel="0" collapsed="false">
      <c r="A43" s="28" t="n">
        <v>0.05</v>
      </c>
      <c r="B43" s="29" t="n">
        <f aca="false">$B$20-$B$21-$B$22-$B$5/$A43*B$41</f>
        <v>81600</v>
      </c>
      <c r="C43" s="29" t="n">
        <f aca="false">$B$20-$B$21-$B$22-$B$5/$A43*C$41</f>
        <v>57600</v>
      </c>
      <c r="D43" s="29" t="n">
        <f aca="false">$B$20-$B$21-$B$22-$B$5/$A43*D$41</f>
        <v>15600</v>
      </c>
    </row>
    <row r="44" customFormat="false" ht="15" hidden="false" customHeight="false" outlineLevel="0" collapsed="false">
      <c r="A44" s="28" t="n">
        <v>0.07</v>
      </c>
      <c r="B44" s="29" t="n">
        <f aca="false">$B$20-$B$21-$B$22-$B$5/$A44*B$41</f>
        <v>97028.5714285714</v>
      </c>
      <c r="C44" s="29" t="n">
        <f aca="false">$B$20-$B$21-$B$22-$B$5/$A44*C$41</f>
        <v>79885.7142857143</v>
      </c>
      <c r="D44" s="29" t="n">
        <f aca="false">$B$20-$B$21-$B$22-$B$5/$A44*D$41</f>
        <v>49885.7142857143</v>
      </c>
    </row>
    <row r="45" customFormat="false" ht="15" hidden="false" customHeight="false" outlineLevel="0" collapsed="false">
      <c r="A45" s="28" t="n">
        <v>0.1</v>
      </c>
      <c r="B45" s="29" t="n">
        <f aca="false">$B$20-$B$21-$B$22-$B$5/$A45*B$41</f>
        <v>108600</v>
      </c>
      <c r="C45" s="29" t="n">
        <f aca="false">$B$20-$B$21-$B$22-$B$5/$A45*C$41</f>
        <v>96600</v>
      </c>
      <c r="D45" s="29" t="n">
        <f aca="false">$B$20-$B$21-$B$22-$B$5/$A45*D$41</f>
        <v>75600</v>
      </c>
    </row>
    <row r="47" customFormat="false" ht="15" hidden="false" customHeight="false" outlineLevel="0" collapsed="false">
      <c r="A47" s="14" t="s">
        <v>70</v>
      </c>
    </row>
    <row r="48" customFormat="false" ht="15" hidden="false" customHeight="false" outlineLevel="0" collapsed="false">
      <c r="A48" s="14" t="s">
        <v>71</v>
      </c>
    </row>
    <row r="49" customFormat="false" ht="15" hidden="false" customHeight="false" outlineLevel="0" collapsed="false">
      <c r="A49" s="14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2"/>
    <col collapsed="false" customWidth="true" hidden="false" outlineLevel="0" max="5" min="3" style="1" width="15"/>
    <col collapsed="false" customWidth="true" hidden="false" outlineLevel="0" max="6" min="6" style="1" width="110"/>
  </cols>
  <sheetData>
    <row r="1" customFormat="false" ht="17.25" hidden="false" customHeight="true" outlineLevel="0" collapsed="false">
      <c r="A1" s="2" t="s">
        <v>73</v>
      </c>
    </row>
    <row r="2" customFormat="false" ht="15" hidden="false" customHeight="true" outlineLevel="0" collapsed="false">
      <c r="A2" s="3" t="s">
        <v>74</v>
      </c>
    </row>
    <row r="4" customFormat="false" ht="15" hidden="false" customHeight="true" outlineLevel="0" collapsed="false">
      <c r="A4" s="4" t="s">
        <v>75</v>
      </c>
      <c r="B4" s="4" t="s">
        <v>76</v>
      </c>
      <c r="C4" s="4" t="s">
        <v>3</v>
      </c>
      <c r="D4" s="4" t="s">
        <v>4</v>
      </c>
      <c r="E4" s="4" t="s">
        <v>5</v>
      </c>
      <c r="F4" s="4" t="s">
        <v>77</v>
      </c>
    </row>
    <row r="5" customFormat="false" ht="15" hidden="false" customHeight="true" outlineLevel="0" collapsed="false">
      <c r="A5" s="7" t="s">
        <v>78</v>
      </c>
      <c r="B5" s="7" t="s">
        <v>79</v>
      </c>
      <c r="C5" s="30" t="n">
        <v>35000</v>
      </c>
      <c r="D5" s="30" t="n">
        <v>50000</v>
      </c>
      <c r="E5" s="30" t="n">
        <v>65000</v>
      </c>
      <c r="F5" s="3" t="s">
        <v>80</v>
      </c>
    </row>
    <row r="6" customFormat="false" ht="15" hidden="false" customHeight="true" outlineLevel="0" collapsed="false">
      <c r="A6" s="7" t="s">
        <v>81</v>
      </c>
      <c r="B6" s="7" t="s">
        <v>79</v>
      </c>
      <c r="C6" s="30" t="n">
        <v>200</v>
      </c>
      <c r="D6" s="30" t="n">
        <v>130</v>
      </c>
      <c r="E6" s="30" t="n">
        <v>90</v>
      </c>
      <c r="F6" s="3" t="s">
        <v>82</v>
      </c>
    </row>
    <row r="7" customFormat="false" ht="15" hidden="false" customHeight="true" outlineLevel="0" collapsed="false">
      <c r="A7" s="7" t="s">
        <v>83</v>
      </c>
      <c r="B7" s="7" t="s">
        <v>84</v>
      </c>
      <c r="C7" s="31" t="n">
        <v>0.03</v>
      </c>
      <c r="D7" s="31" t="n">
        <v>0.05</v>
      </c>
      <c r="E7" s="31" t="n">
        <v>0.07</v>
      </c>
      <c r="F7" s="3" t="s">
        <v>85</v>
      </c>
    </row>
    <row r="8" customFormat="false" ht="15" hidden="false" customHeight="true" outlineLevel="0" collapsed="false">
      <c r="A8" s="7" t="s">
        <v>86</v>
      </c>
      <c r="B8" s="7" t="s">
        <v>79</v>
      </c>
      <c r="C8" s="32" t="n">
        <v>3000</v>
      </c>
      <c r="D8" s="32" t="n">
        <v>5000</v>
      </c>
      <c r="E8" s="32" t="n">
        <v>8000</v>
      </c>
      <c r="F8" s="3" t="s">
        <v>87</v>
      </c>
    </row>
    <row r="9" customFormat="false" ht="15" hidden="false" customHeight="true" outlineLevel="0" collapsed="false">
      <c r="A9" s="7" t="s">
        <v>88</v>
      </c>
      <c r="B9" s="7" t="s">
        <v>79</v>
      </c>
      <c r="C9" s="32" t="n">
        <v>500</v>
      </c>
      <c r="D9" s="32" t="n">
        <v>1500</v>
      </c>
      <c r="E9" s="32" t="n">
        <v>2500</v>
      </c>
      <c r="F9" s="3" t="s">
        <v>87</v>
      </c>
    </row>
    <row r="10" customFormat="false" ht="15" hidden="false" customHeight="true" outlineLevel="0" collapsed="false">
      <c r="A10" s="7" t="s">
        <v>89</v>
      </c>
      <c r="B10" s="7" t="s">
        <v>79</v>
      </c>
      <c r="C10" s="32" t="n">
        <v>8000</v>
      </c>
      <c r="D10" s="32" t="n">
        <v>25000</v>
      </c>
      <c r="E10" s="32" t="n">
        <v>40000</v>
      </c>
      <c r="F10" s="3" t="s">
        <v>90</v>
      </c>
    </row>
    <row r="11" customFormat="false" ht="15" hidden="false" customHeight="true" outlineLevel="0" collapsed="false">
      <c r="A11" s="7" t="s">
        <v>91</v>
      </c>
      <c r="B11" s="7" t="s">
        <v>84</v>
      </c>
      <c r="C11" s="33" t="n">
        <v>0.06</v>
      </c>
      <c r="D11" s="33" t="n">
        <v>0.06</v>
      </c>
      <c r="E11" s="33" t="n">
        <v>0.06</v>
      </c>
      <c r="F11" s="3" t="s">
        <v>92</v>
      </c>
    </row>
    <row r="12" customFormat="false" ht="15" hidden="false" customHeight="true" outlineLevel="0" collapsed="false">
      <c r="A12" s="7" t="s">
        <v>93</v>
      </c>
      <c r="B12" s="7" t="s">
        <v>84</v>
      </c>
      <c r="C12" s="31" t="n">
        <v>0.85</v>
      </c>
      <c r="D12" s="31" t="n">
        <v>0.92</v>
      </c>
      <c r="E12" s="31" t="n">
        <v>0.97</v>
      </c>
      <c r="F12" s="3" t="s">
        <v>94</v>
      </c>
    </row>
    <row r="13" customFormat="false" ht="15" hidden="false" customHeight="true" outlineLevel="0" collapsed="false">
      <c r="A13" s="7" t="s">
        <v>95</v>
      </c>
      <c r="B13" s="7" t="s">
        <v>96</v>
      </c>
      <c r="C13" s="31" t="n">
        <v>0.06</v>
      </c>
      <c r="D13" s="31" t="n">
        <v>0.08</v>
      </c>
      <c r="E13" s="31" t="n">
        <v>0.1</v>
      </c>
      <c r="F13" s="3" t="s">
        <v>97</v>
      </c>
    </row>
    <row r="14" customFormat="false" ht="15" hidden="false" customHeight="true" outlineLevel="0" collapsed="false">
      <c r="A14" s="7" t="s">
        <v>98</v>
      </c>
      <c r="B14" s="7" t="s">
        <v>84</v>
      </c>
      <c r="C14" s="33" t="n">
        <v>0.5</v>
      </c>
      <c r="D14" s="33" t="n">
        <v>0.5</v>
      </c>
      <c r="E14" s="33" t="n">
        <v>0.5</v>
      </c>
      <c r="F14" s="3" t="s">
        <v>99</v>
      </c>
    </row>
    <row r="15" customFormat="false" ht="15" hidden="false" customHeight="true" outlineLevel="0" collapsed="false">
      <c r="A15" s="7" t="s">
        <v>100</v>
      </c>
      <c r="B15" s="7" t="s">
        <v>84</v>
      </c>
      <c r="C15" s="33" t="n">
        <v>0.08</v>
      </c>
      <c r="D15" s="33" t="n">
        <v>0.05</v>
      </c>
      <c r="E15" s="33" t="n">
        <v>0.03</v>
      </c>
      <c r="F15" s="3" t="s">
        <v>101</v>
      </c>
    </row>
    <row r="16" customFormat="false" ht="15" hidden="false" customHeight="true" outlineLevel="0" collapsed="false">
      <c r="A16" s="7" t="s">
        <v>102</v>
      </c>
      <c r="B16" s="7" t="s">
        <v>84</v>
      </c>
      <c r="C16" s="31" t="n">
        <v>0.25</v>
      </c>
      <c r="D16" s="31" t="n">
        <v>0.35</v>
      </c>
      <c r="E16" s="31" t="n">
        <v>0.45</v>
      </c>
      <c r="F16" s="3" t="s">
        <v>103</v>
      </c>
    </row>
    <row r="17" customFormat="false" ht="15" hidden="false" customHeight="true" outlineLevel="0" collapsed="false">
      <c r="A17" s="7" t="s">
        <v>104</v>
      </c>
      <c r="B17" s="7" t="s">
        <v>105</v>
      </c>
      <c r="C17" s="34" t="n">
        <v>7</v>
      </c>
      <c r="D17" s="34" t="n">
        <v>6</v>
      </c>
      <c r="E17" s="34" t="n">
        <v>5</v>
      </c>
      <c r="F17" s="3" t="s">
        <v>106</v>
      </c>
    </row>
    <row r="18" customFormat="false" ht="15" hidden="false" customHeight="true" outlineLevel="0" collapsed="false">
      <c r="A18" s="7" t="s">
        <v>107</v>
      </c>
      <c r="B18" s="7" t="s">
        <v>108</v>
      </c>
      <c r="C18" s="34" t="n">
        <v>0</v>
      </c>
      <c r="D18" s="34" t="n">
        <v>0</v>
      </c>
      <c r="E18" s="34" t="n">
        <v>1</v>
      </c>
      <c r="F18" s="3" t="s">
        <v>109</v>
      </c>
    </row>
    <row r="19" customFormat="false" ht="15" hidden="false" customHeight="true" outlineLevel="0" collapsed="false">
      <c r="A19" s="7" t="s">
        <v>110</v>
      </c>
      <c r="B19" s="7" t="s">
        <v>79</v>
      </c>
      <c r="C19" s="32" t="n">
        <v>1500</v>
      </c>
      <c r="D19" s="32" t="n">
        <v>1500</v>
      </c>
      <c r="E19" s="32" t="n">
        <v>2000</v>
      </c>
      <c r="F19" s="3" t="s">
        <v>111</v>
      </c>
    </row>
    <row r="20" customFormat="false" ht="15" hidden="false" customHeight="true" outlineLevel="0" collapsed="false">
      <c r="A20" s="7" t="s">
        <v>112</v>
      </c>
      <c r="B20" s="7" t="s">
        <v>79</v>
      </c>
      <c r="C20" s="32" t="n">
        <v>100</v>
      </c>
      <c r="D20" s="32" t="n">
        <v>90</v>
      </c>
      <c r="E20" s="32" t="n">
        <v>90</v>
      </c>
      <c r="F20" s="3" t="s">
        <v>113</v>
      </c>
    </row>
    <row r="22" customFormat="false" ht="15" hidden="false" customHeight="true" outlineLevel="0" collapsed="false">
      <c r="A22" s="4" t="s">
        <v>114</v>
      </c>
      <c r="B22" s="35"/>
      <c r="C22" s="35"/>
      <c r="D22" s="35"/>
      <c r="E22" s="35"/>
      <c r="F22" s="35"/>
    </row>
    <row r="23" customFormat="false" ht="15" hidden="false" customHeight="true" outlineLevel="0" collapsed="false">
      <c r="A23" s="7" t="s">
        <v>20</v>
      </c>
      <c r="B23" s="7" t="s">
        <v>79</v>
      </c>
      <c r="C23" s="36" t="n">
        <f aca="false">C5*(C11*C12+C13*C14*(1-C15))</f>
        <v>2751</v>
      </c>
      <c r="D23" s="36" t="n">
        <f aca="false">D5*(D11*D12+D13*D14*(1-D15))</f>
        <v>4660</v>
      </c>
      <c r="E23" s="36" t="n">
        <f aca="false">E5*(E11*E12+E13*E14*(1-E15))</f>
        <v>6935.5</v>
      </c>
      <c r="F23" s="3" t="s">
        <v>115</v>
      </c>
    </row>
    <row r="24" customFormat="false" ht="15" hidden="false" customHeight="true" outlineLevel="0" collapsed="false">
      <c r="A24" s="7" t="s">
        <v>116</v>
      </c>
      <c r="B24" s="7" t="s">
        <v>84</v>
      </c>
      <c r="C24" s="37" t="n">
        <f aca="false">IFERROR(C23/C5,0)</f>
        <v>0.0786</v>
      </c>
      <c r="D24" s="37" t="n">
        <f aca="false">IFERROR(D23/D5,0)</f>
        <v>0.0932</v>
      </c>
      <c r="E24" s="37" t="n">
        <f aca="false">IFERROR(E23/E5,0)</f>
        <v>0.1067</v>
      </c>
      <c r="F24" s="3"/>
    </row>
    <row r="25" customFormat="false" ht="15" hidden="false" customHeight="true" outlineLevel="0" collapsed="false">
      <c r="A25" s="7" t="s">
        <v>21</v>
      </c>
      <c r="B25" s="7" t="s">
        <v>79</v>
      </c>
      <c r="C25" s="36" t="n">
        <f aca="false">IFERROR(C6/C7,0)</f>
        <v>6666.66666666667</v>
      </c>
      <c r="D25" s="36" t="n">
        <f aca="false">IFERROR(D6/D7,0)</f>
        <v>2600</v>
      </c>
      <c r="E25" s="36" t="n">
        <f aca="false">IFERROR(E6/E7,0)</f>
        <v>1285.71428571429</v>
      </c>
      <c r="F25" s="3" t="s">
        <v>117</v>
      </c>
    </row>
    <row r="26" customFormat="false" ht="15" hidden="false" customHeight="true" outlineLevel="0" collapsed="false">
      <c r="A26" s="7" t="s">
        <v>118</v>
      </c>
      <c r="B26" s="7" t="s">
        <v>79</v>
      </c>
      <c r="C26" s="36" t="n">
        <f aca="false">C23-C25-C20</f>
        <v>-4015.66666666667</v>
      </c>
      <c r="D26" s="36" t="n">
        <f aca="false">D23-D25-D20</f>
        <v>1970</v>
      </c>
      <c r="E26" s="36" t="n">
        <f aca="false">E23-E25-E20</f>
        <v>5559.78571428571</v>
      </c>
      <c r="F26" s="3" t="s">
        <v>119</v>
      </c>
    </row>
    <row r="27" customFormat="false" ht="15" hidden="false" customHeight="true" outlineLevel="0" collapsed="false">
      <c r="A27" s="7" t="s">
        <v>120</v>
      </c>
      <c r="B27" s="7" t="s">
        <v>79</v>
      </c>
      <c r="C27" s="36" t="n">
        <f aca="false">(C23-C20)*C7</f>
        <v>79.53</v>
      </c>
      <c r="D27" s="36" t="n">
        <f aca="false">(D23-D20)*D7</f>
        <v>228.5</v>
      </c>
      <c r="E27" s="36" t="n">
        <f aca="false">(E23-E20)*E7</f>
        <v>479.185</v>
      </c>
      <c r="F27" s="3" t="s">
        <v>121</v>
      </c>
    </row>
    <row r="28" customFormat="false" ht="15" hidden="false" customHeight="true" outlineLevel="0" collapsed="false">
      <c r="A28" s="7" t="s">
        <v>122</v>
      </c>
      <c r="B28" s="7" t="s">
        <v>79</v>
      </c>
      <c r="C28" s="36" t="str">
        <f aca="false">IF(C26&gt;0,(1000000+12*C19)/(C26/C5),"Not reachable")</f>
        <v>Not reachable</v>
      </c>
      <c r="D28" s="36" t="n">
        <f aca="false">IF(D26&gt;0,(1000000+12*D19)/(D26/D5),"Not reachable")</f>
        <v>25837563.4517767</v>
      </c>
      <c r="E28" s="36" t="n">
        <f aca="false">IF(E26&gt;0,(1000000+12*E19)/(E26/E5),"Not reachable")</f>
        <v>11971684.4174364</v>
      </c>
      <c r="F28" s="3" t="s">
        <v>123</v>
      </c>
    </row>
    <row r="29" customFormat="false" ht="15" hidden="false" customHeight="true" outlineLevel="0" collapsed="false">
      <c r="A29" s="7" t="s">
        <v>124</v>
      </c>
      <c r="B29" s="7" t="s">
        <v>125</v>
      </c>
      <c r="C29" s="38" t="str">
        <f aca="false">IF(ISNUMBER(C28),C28/C5/12,"Not reachable")</f>
        <v>Not reachable</v>
      </c>
      <c r="D29" s="38" t="n">
        <f aca="false">IF(ISNUMBER(D28),D28/D5/12,"Not reachable")</f>
        <v>43.0626057529611</v>
      </c>
      <c r="E29" s="38" t="n">
        <f aca="false">IF(ISNUMBER(E28),E28/E5/12,"Not reachable")</f>
        <v>15.3483133556877</v>
      </c>
      <c r="F2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6" min="3" style="1" width="11.5"/>
    <col collapsed="false" customWidth="true" hidden="false" outlineLevel="0" max="29" min="27" style="1" width="13"/>
  </cols>
  <sheetData>
    <row r="1" customFormat="false" ht="17.25" hidden="false" customHeight="true" outlineLevel="0" collapsed="false">
      <c r="A1" s="2" t="s">
        <v>126</v>
      </c>
    </row>
    <row r="2" customFormat="false" ht="15" hidden="false" customHeight="true" outlineLevel="0" collapsed="false">
      <c r="A2" s="3" t="s">
        <v>127</v>
      </c>
    </row>
    <row r="4" customFormat="false" ht="15" hidden="false" customHeight="true" outlineLevel="0" collapsed="false">
      <c r="A4" s="4" t="s">
        <v>128</v>
      </c>
      <c r="C4" s="39" t="n">
        <v>1</v>
      </c>
      <c r="D4" s="40" t="n">
        <f aca="false">C4+1</f>
        <v>2</v>
      </c>
      <c r="E4" s="40" t="n">
        <f aca="false">D4+1</f>
        <v>3</v>
      </c>
      <c r="F4" s="40" t="n">
        <f aca="false">E4+1</f>
        <v>4</v>
      </c>
      <c r="G4" s="40" t="n">
        <f aca="false">F4+1</f>
        <v>5</v>
      </c>
      <c r="H4" s="40" t="n">
        <f aca="false">G4+1</f>
        <v>6</v>
      </c>
      <c r="I4" s="40" t="n">
        <f aca="false">H4+1</f>
        <v>7</v>
      </c>
      <c r="J4" s="40" t="n">
        <f aca="false">I4+1</f>
        <v>8</v>
      </c>
      <c r="K4" s="40" t="n">
        <f aca="false">J4+1</f>
        <v>9</v>
      </c>
      <c r="L4" s="40" t="n">
        <f aca="false">K4+1</f>
        <v>10</v>
      </c>
      <c r="M4" s="40" t="n">
        <f aca="false">L4+1</f>
        <v>11</v>
      </c>
      <c r="N4" s="40" t="n">
        <f aca="false">M4+1</f>
        <v>12</v>
      </c>
      <c r="O4" s="40" t="n">
        <f aca="false">N4+1</f>
        <v>13</v>
      </c>
      <c r="P4" s="40" t="n">
        <f aca="false">O4+1</f>
        <v>14</v>
      </c>
      <c r="Q4" s="40" t="n">
        <f aca="false">P4+1</f>
        <v>15</v>
      </c>
      <c r="R4" s="40" t="n">
        <f aca="false">Q4+1</f>
        <v>16</v>
      </c>
      <c r="S4" s="40" t="n">
        <f aca="false">R4+1</f>
        <v>17</v>
      </c>
      <c r="T4" s="40" t="n">
        <f aca="false">S4+1</f>
        <v>18</v>
      </c>
      <c r="U4" s="40" t="n">
        <f aca="false">T4+1</f>
        <v>19</v>
      </c>
      <c r="V4" s="40" t="n">
        <f aca="false">U4+1</f>
        <v>20</v>
      </c>
      <c r="W4" s="40" t="n">
        <f aca="false">V4+1</f>
        <v>21</v>
      </c>
      <c r="X4" s="40" t="n">
        <f aca="false">W4+1</f>
        <v>22</v>
      </c>
      <c r="Y4" s="40" t="n">
        <f aca="false">X4+1</f>
        <v>23</v>
      </c>
      <c r="Z4" s="40" t="n">
        <f aca="false">Y4+1</f>
        <v>24</v>
      </c>
      <c r="AA4" s="41" t="s">
        <v>129</v>
      </c>
      <c r="AB4" s="41" t="s">
        <v>130</v>
      </c>
      <c r="AC4" s="41" t="s">
        <v>131</v>
      </c>
    </row>
    <row r="5" customFormat="false" ht="15" hidden="false" customHeight="true" outlineLevel="0" collapsed="false">
      <c r="A5" s="7" t="s">
        <v>12</v>
      </c>
      <c r="C5" s="9" t="n">
        <f aca="false">MIN(Assumptions!$C$8+(C$4-1)*Assumptions!$C$9,Assumptions!$C$10)</f>
        <v>3000</v>
      </c>
      <c r="D5" s="9" t="n">
        <f aca="false">MIN(Assumptions!$C$8+(D$4-1)*Assumptions!$C$9,Assumptions!$C$10)</f>
        <v>3500</v>
      </c>
      <c r="E5" s="9" t="n">
        <f aca="false">MIN(Assumptions!$C$8+(E$4-1)*Assumptions!$C$9,Assumptions!$C$10)</f>
        <v>4000</v>
      </c>
      <c r="F5" s="9" t="n">
        <f aca="false">MIN(Assumptions!$C$8+(F$4-1)*Assumptions!$C$9,Assumptions!$C$10)</f>
        <v>4500</v>
      </c>
      <c r="G5" s="9" t="n">
        <f aca="false">MIN(Assumptions!$C$8+(G$4-1)*Assumptions!$C$9,Assumptions!$C$10)</f>
        <v>5000</v>
      </c>
      <c r="H5" s="9" t="n">
        <f aca="false">MIN(Assumptions!$C$8+(H$4-1)*Assumptions!$C$9,Assumptions!$C$10)</f>
        <v>5500</v>
      </c>
      <c r="I5" s="9" t="n">
        <f aca="false">MIN(Assumptions!$C$8+(I$4-1)*Assumptions!$C$9,Assumptions!$C$10)</f>
        <v>6000</v>
      </c>
      <c r="J5" s="9" t="n">
        <f aca="false">MIN(Assumptions!$C$8+(J$4-1)*Assumptions!$C$9,Assumptions!$C$10)</f>
        <v>6500</v>
      </c>
      <c r="K5" s="9" t="n">
        <f aca="false">MIN(Assumptions!$C$8+(K$4-1)*Assumptions!$C$9,Assumptions!$C$10)</f>
        <v>7000</v>
      </c>
      <c r="L5" s="9" t="n">
        <f aca="false">MIN(Assumptions!$C$8+(L$4-1)*Assumptions!$C$9,Assumptions!$C$10)</f>
        <v>7500</v>
      </c>
      <c r="M5" s="9" t="n">
        <f aca="false">MIN(Assumptions!$C$8+(M$4-1)*Assumptions!$C$9,Assumptions!$C$10)</f>
        <v>8000</v>
      </c>
      <c r="N5" s="9" t="n">
        <f aca="false">MIN(Assumptions!$C$8+(N$4-1)*Assumptions!$C$9,Assumptions!$C$10)</f>
        <v>8000</v>
      </c>
      <c r="O5" s="9" t="n">
        <f aca="false">MIN(Assumptions!$C$8+(O$4-1)*Assumptions!$C$9,Assumptions!$C$10)</f>
        <v>8000</v>
      </c>
      <c r="P5" s="9" t="n">
        <f aca="false">MIN(Assumptions!$C$8+(P$4-1)*Assumptions!$C$9,Assumptions!$C$10)</f>
        <v>8000</v>
      </c>
      <c r="Q5" s="9" t="n">
        <f aca="false">MIN(Assumptions!$C$8+(Q$4-1)*Assumptions!$C$9,Assumptions!$C$10)</f>
        <v>8000</v>
      </c>
      <c r="R5" s="9" t="n">
        <f aca="false">MIN(Assumptions!$C$8+(R$4-1)*Assumptions!$C$9,Assumptions!$C$10)</f>
        <v>8000</v>
      </c>
      <c r="S5" s="9" t="n">
        <f aca="false">MIN(Assumptions!$C$8+(S$4-1)*Assumptions!$C$9,Assumptions!$C$10)</f>
        <v>8000</v>
      </c>
      <c r="T5" s="9" t="n">
        <f aca="false">MIN(Assumptions!$C$8+(T$4-1)*Assumptions!$C$9,Assumptions!$C$10)</f>
        <v>8000</v>
      </c>
      <c r="U5" s="9" t="n">
        <f aca="false">MIN(Assumptions!$C$8+(U$4-1)*Assumptions!$C$9,Assumptions!$C$10)</f>
        <v>8000</v>
      </c>
      <c r="V5" s="9" t="n">
        <f aca="false">MIN(Assumptions!$C$8+(V$4-1)*Assumptions!$C$9,Assumptions!$C$10)</f>
        <v>8000</v>
      </c>
      <c r="W5" s="9" t="n">
        <f aca="false">MIN(Assumptions!$C$8+(W$4-1)*Assumptions!$C$9,Assumptions!$C$10)</f>
        <v>8000</v>
      </c>
      <c r="X5" s="9" t="n">
        <f aca="false">MIN(Assumptions!$C$8+(X$4-1)*Assumptions!$C$9,Assumptions!$C$10)</f>
        <v>8000</v>
      </c>
      <c r="Y5" s="9" t="n">
        <f aca="false">MIN(Assumptions!$C$8+(Y$4-1)*Assumptions!$C$9,Assumptions!$C$10)</f>
        <v>8000</v>
      </c>
      <c r="Z5" s="9" t="n">
        <f aca="false">MIN(Assumptions!$C$8+(Z$4-1)*Assumptions!$C$9,Assumptions!$C$10)</f>
        <v>8000</v>
      </c>
      <c r="AA5" s="42" t="n">
        <f aca="false">SUM(C5:N5)</f>
        <v>68500</v>
      </c>
      <c r="AB5" s="42" t="n">
        <f aca="false">SUM(O5:Z5)</f>
        <v>96000</v>
      </c>
      <c r="AC5" s="42" t="n">
        <f aca="false">AA5+AB5</f>
        <v>164500</v>
      </c>
    </row>
    <row r="6" customFormat="false" ht="15" hidden="false" customHeight="true" outlineLevel="0" collapsed="false">
      <c r="A6" s="7" t="s">
        <v>132</v>
      </c>
      <c r="C6" s="8" t="n">
        <f aca="false">C5/Assumptions!$C$6</f>
        <v>15</v>
      </c>
      <c r="D6" s="8" t="n">
        <f aca="false">D5/Assumptions!$C$6</f>
        <v>17.5</v>
      </c>
      <c r="E6" s="8" t="n">
        <f aca="false">E5/Assumptions!$C$6</f>
        <v>20</v>
      </c>
      <c r="F6" s="8" t="n">
        <f aca="false">F5/Assumptions!$C$6</f>
        <v>22.5</v>
      </c>
      <c r="G6" s="8" t="n">
        <f aca="false">G5/Assumptions!$C$6</f>
        <v>25</v>
      </c>
      <c r="H6" s="8" t="n">
        <f aca="false">H5/Assumptions!$C$6</f>
        <v>27.5</v>
      </c>
      <c r="I6" s="8" t="n">
        <f aca="false">I5/Assumptions!$C$6</f>
        <v>30</v>
      </c>
      <c r="J6" s="8" t="n">
        <f aca="false">J5/Assumptions!$C$6</f>
        <v>32.5</v>
      </c>
      <c r="K6" s="8" t="n">
        <f aca="false">K5/Assumptions!$C$6</f>
        <v>35</v>
      </c>
      <c r="L6" s="8" t="n">
        <f aca="false">L5/Assumptions!$C$6</f>
        <v>37.5</v>
      </c>
      <c r="M6" s="8" t="n">
        <f aca="false">M5/Assumptions!$C$6</f>
        <v>40</v>
      </c>
      <c r="N6" s="8" t="n">
        <f aca="false">N5/Assumptions!$C$6</f>
        <v>40</v>
      </c>
      <c r="O6" s="8" t="n">
        <f aca="false">O5/Assumptions!$C$6</f>
        <v>40</v>
      </c>
      <c r="P6" s="8" t="n">
        <f aca="false">P5/Assumptions!$C$6</f>
        <v>40</v>
      </c>
      <c r="Q6" s="8" t="n">
        <f aca="false">Q5/Assumptions!$C$6</f>
        <v>40</v>
      </c>
      <c r="R6" s="8" t="n">
        <f aca="false">R5/Assumptions!$C$6</f>
        <v>40</v>
      </c>
      <c r="S6" s="8" t="n">
        <f aca="false">S5/Assumptions!$C$6</f>
        <v>40</v>
      </c>
      <c r="T6" s="8" t="n">
        <f aca="false">T5/Assumptions!$C$6</f>
        <v>40</v>
      </c>
      <c r="U6" s="8" t="n">
        <f aca="false">U5/Assumptions!$C$6</f>
        <v>40</v>
      </c>
      <c r="V6" s="8" t="n">
        <f aca="false">V5/Assumptions!$C$6</f>
        <v>40</v>
      </c>
      <c r="W6" s="8" t="n">
        <f aca="false">W5/Assumptions!$C$6</f>
        <v>40</v>
      </c>
      <c r="X6" s="8" t="n">
        <f aca="false">X5/Assumptions!$C$6</f>
        <v>40</v>
      </c>
      <c r="Y6" s="8" t="n">
        <f aca="false">Y5/Assumptions!$C$6</f>
        <v>40</v>
      </c>
      <c r="Z6" s="8" t="n">
        <f aca="false">Z5/Assumptions!$C$6</f>
        <v>40</v>
      </c>
      <c r="AA6" s="43" t="n">
        <f aca="false">SUM(C6:N6)</f>
        <v>342.5</v>
      </c>
      <c r="AB6" s="43" t="n">
        <f aca="false">SUM(O6:Z6)</f>
        <v>480</v>
      </c>
      <c r="AC6" s="43" t="n">
        <f aca="false">AA6+AB6</f>
        <v>822.5</v>
      </c>
    </row>
    <row r="7" customFormat="false" ht="15" hidden="false" customHeight="true" outlineLevel="0" collapsed="false">
      <c r="A7" s="7" t="s">
        <v>133</v>
      </c>
      <c r="C7" s="12" t="n">
        <f aca="false">C6*Assumptions!$C$7</f>
        <v>0.45</v>
      </c>
      <c r="D7" s="12" t="n">
        <f aca="false">D6*Assumptions!$C$7</f>
        <v>0.525</v>
      </c>
      <c r="E7" s="12" t="n">
        <f aca="false">E6*Assumptions!$C$7</f>
        <v>0.6</v>
      </c>
      <c r="F7" s="12" t="n">
        <f aca="false">F6*Assumptions!$C$7</f>
        <v>0.675</v>
      </c>
      <c r="G7" s="12" t="n">
        <f aca="false">G6*Assumptions!$C$7</f>
        <v>0.75</v>
      </c>
      <c r="H7" s="12" t="n">
        <f aca="false">H6*Assumptions!$C$7</f>
        <v>0.825</v>
      </c>
      <c r="I7" s="12" t="n">
        <f aca="false">I6*Assumptions!$C$7</f>
        <v>0.9</v>
      </c>
      <c r="J7" s="12" t="n">
        <f aca="false">J6*Assumptions!$C$7</f>
        <v>0.975</v>
      </c>
      <c r="K7" s="12" t="n">
        <f aca="false">K6*Assumptions!$C$7</f>
        <v>1.05</v>
      </c>
      <c r="L7" s="12" t="n">
        <f aca="false">L6*Assumptions!$C$7</f>
        <v>1.125</v>
      </c>
      <c r="M7" s="12" t="n">
        <f aca="false">M6*Assumptions!$C$7</f>
        <v>1.2</v>
      </c>
      <c r="N7" s="12" t="n">
        <f aca="false">N6*Assumptions!$C$7</f>
        <v>1.2</v>
      </c>
      <c r="O7" s="12" t="n">
        <f aca="false">O6*Assumptions!$C$7</f>
        <v>1.2</v>
      </c>
      <c r="P7" s="12" t="n">
        <f aca="false">P6*Assumptions!$C$7</f>
        <v>1.2</v>
      </c>
      <c r="Q7" s="12" t="n">
        <f aca="false">Q6*Assumptions!$C$7</f>
        <v>1.2</v>
      </c>
      <c r="R7" s="12" t="n">
        <f aca="false">R6*Assumptions!$C$7</f>
        <v>1.2</v>
      </c>
      <c r="S7" s="12" t="n">
        <f aca="false">S6*Assumptions!$C$7</f>
        <v>1.2</v>
      </c>
      <c r="T7" s="12" t="n">
        <f aca="false">T6*Assumptions!$C$7</f>
        <v>1.2</v>
      </c>
      <c r="U7" s="12" t="n">
        <f aca="false">U6*Assumptions!$C$7</f>
        <v>1.2</v>
      </c>
      <c r="V7" s="12" t="n">
        <f aca="false">V6*Assumptions!$C$7</f>
        <v>1.2</v>
      </c>
      <c r="W7" s="12" t="n">
        <f aca="false">W6*Assumptions!$C$7</f>
        <v>1.2</v>
      </c>
      <c r="X7" s="12" t="n">
        <f aca="false">X6*Assumptions!$C$7</f>
        <v>1.2</v>
      </c>
      <c r="Y7" s="12" t="n">
        <f aca="false">Y6*Assumptions!$C$7</f>
        <v>1.2</v>
      </c>
      <c r="Z7" s="12" t="n">
        <f aca="false">Z6*Assumptions!$C$7</f>
        <v>1.2</v>
      </c>
      <c r="AA7" s="44" t="n">
        <f aca="false">SUM(C7:N7)</f>
        <v>10.275</v>
      </c>
      <c r="AB7" s="44" t="n">
        <f aca="false">SUM(O7:Z7)</f>
        <v>14.4</v>
      </c>
      <c r="AC7" s="44" t="n">
        <f aca="false">AA7+AB7</f>
        <v>24.675</v>
      </c>
    </row>
    <row r="8" customFormat="false" ht="15" hidden="false" customHeight="true" outlineLevel="0" collapsed="false">
      <c r="A8" s="7" t="s">
        <v>134</v>
      </c>
      <c r="C8" s="9" t="n">
        <f aca="false">C7*Assumptions!$C$5</f>
        <v>15750</v>
      </c>
      <c r="D8" s="9" t="n">
        <f aca="false">D7*Assumptions!$C$5</f>
        <v>18375</v>
      </c>
      <c r="E8" s="9" t="n">
        <f aca="false">E7*Assumptions!$C$5</f>
        <v>21000</v>
      </c>
      <c r="F8" s="9" t="n">
        <f aca="false">F7*Assumptions!$C$5</f>
        <v>23625</v>
      </c>
      <c r="G8" s="9" t="n">
        <f aca="false">G7*Assumptions!$C$5</f>
        <v>26250</v>
      </c>
      <c r="H8" s="9" t="n">
        <f aca="false">H7*Assumptions!$C$5</f>
        <v>28875</v>
      </c>
      <c r="I8" s="9" t="n">
        <f aca="false">I7*Assumptions!$C$5</f>
        <v>31500</v>
      </c>
      <c r="J8" s="9" t="n">
        <f aca="false">J7*Assumptions!$C$5</f>
        <v>34125</v>
      </c>
      <c r="K8" s="9" t="n">
        <f aca="false">K7*Assumptions!$C$5</f>
        <v>36750</v>
      </c>
      <c r="L8" s="9" t="n">
        <f aca="false">L7*Assumptions!$C$5</f>
        <v>39375</v>
      </c>
      <c r="M8" s="9" t="n">
        <f aca="false">M7*Assumptions!$C$5</f>
        <v>42000</v>
      </c>
      <c r="N8" s="9" t="n">
        <f aca="false">N7*Assumptions!$C$5</f>
        <v>42000</v>
      </c>
      <c r="O8" s="9" t="n">
        <f aca="false">O7*Assumptions!$C$5</f>
        <v>42000</v>
      </c>
      <c r="P8" s="9" t="n">
        <f aca="false">P7*Assumptions!$C$5</f>
        <v>42000</v>
      </c>
      <c r="Q8" s="9" t="n">
        <f aca="false">Q7*Assumptions!$C$5</f>
        <v>42000</v>
      </c>
      <c r="R8" s="9" t="n">
        <f aca="false">R7*Assumptions!$C$5</f>
        <v>42000</v>
      </c>
      <c r="S8" s="9" t="n">
        <f aca="false">S7*Assumptions!$C$5</f>
        <v>42000</v>
      </c>
      <c r="T8" s="9" t="n">
        <f aca="false">T7*Assumptions!$C$5</f>
        <v>42000</v>
      </c>
      <c r="U8" s="9" t="n">
        <f aca="false">U7*Assumptions!$C$5</f>
        <v>42000</v>
      </c>
      <c r="V8" s="9" t="n">
        <f aca="false">V7*Assumptions!$C$5</f>
        <v>42000</v>
      </c>
      <c r="W8" s="9" t="n">
        <f aca="false">W7*Assumptions!$C$5</f>
        <v>42000</v>
      </c>
      <c r="X8" s="9" t="n">
        <f aca="false">X7*Assumptions!$C$5</f>
        <v>42000</v>
      </c>
      <c r="Y8" s="9" t="n">
        <f aca="false">Y7*Assumptions!$C$5</f>
        <v>42000</v>
      </c>
      <c r="Z8" s="9" t="n">
        <f aca="false">Z7*Assumptions!$C$5</f>
        <v>42000</v>
      </c>
      <c r="AA8" s="42" t="n">
        <f aca="false">SUM(C8:N8)</f>
        <v>359625</v>
      </c>
      <c r="AB8" s="42" t="n">
        <f aca="false">SUM(O8:Z8)</f>
        <v>504000</v>
      </c>
      <c r="AC8" s="42" t="n">
        <f aca="false">AA8+AB8</f>
        <v>863625</v>
      </c>
    </row>
    <row r="9" customFormat="false" ht="15" hidden="false" customHeight="true" outlineLevel="0" collapsed="false">
      <c r="A9" s="7" t="s">
        <v>135</v>
      </c>
      <c r="C9" s="12" t="n">
        <f aca="false">IF(C$4&gt;Assumptions!$C$17,INDEX($C$7:$Z$7,C$4-Assumptions!$C$17)*Assumptions!$C$16,0)</f>
        <v>0</v>
      </c>
      <c r="D9" s="12" t="n">
        <f aca="false">IF(D$4&gt;Assumptions!$C$17,INDEX($C$7:$Z$7,D$4-Assumptions!$C$17)*Assumptions!$C$16,0)</f>
        <v>0</v>
      </c>
      <c r="E9" s="12" t="n">
        <f aca="false">IF(E$4&gt;Assumptions!$C$17,INDEX($C$7:$Z$7,E$4-Assumptions!$C$17)*Assumptions!$C$16,0)</f>
        <v>0</v>
      </c>
      <c r="F9" s="12" t="n">
        <f aca="false">IF(F$4&gt;Assumptions!$C$17,INDEX($C$7:$Z$7,F$4-Assumptions!$C$17)*Assumptions!$C$16,0)</f>
        <v>0</v>
      </c>
      <c r="G9" s="12" t="n">
        <f aca="false">IF(G$4&gt;Assumptions!$C$17,INDEX($C$7:$Z$7,G$4-Assumptions!$C$17)*Assumptions!$C$16,0)</f>
        <v>0</v>
      </c>
      <c r="H9" s="12" t="n">
        <f aca="false">IF(H$4&gt;Assumptions!$C$17,INDEX($C$7:$Z$7,H$4-Assumptions!$C$17)*Assumptions!$C$16,0)</f>
        <v>0</v>
      </c>
      <c r="I9" s="12" t="n">
        <f aca="false">IF(I$4&gt;Assumptions!$C$17,INDEX($C$7:$Z$7,I$4-Assumptions!$C$17)*Assumptions!$C$16,0)</f>
        <v>0</v>
      </c>
      <c r="J9" s="12" t="n">
        <f aca="false">IF(J$4&gt;Assumptions!$C$17,INDEX($C$7:$Z$7,J$4-Assumptions!$C$17)*Assumptions!$C$16,0)</f>
        <v>0.1125</v>
      </c>
      <c r="K9" s="12" t="n">
        <f aca="false">IF(K$4&gt;Assumptions!$C$17,INDEX($C$7:$Z$7,K$4-Assumptions!$C$17)*Assumptions!$C$16,0)</f>
        <v>0.13125</v>
      </c>
      <c r="L9" s="12" t="n">
        <f aca="false">IF(L$4&gt;Assumptions!$C$17,INDEX($C$7:$Z$7,L$4-Assumptions!$C$17)*Assumptions!$C$16,0)</f>
        <v>0.15</v>
      </c>
      <c r="M9" s="12" t="n">
        <f aca="false">IF(M$4&gt;Assumptions!$C$17,INDEX($C$7:$Z$7,M$4-Assumptions!$C$17)*Assumptions!$C$16,0)</f>
        <v>0.16875</v>
      </c>
      <c r="N9" s="12" t="n">
        <f aca="false">IF(N$4&gt;Assumptions!$C$17,INDEX($C$7:$Z$7,N$4-Assumptions!$C$17)*Assumptions!$C$16,0)</f>
        <v>0.1875</v>
      </c>
      <c r="O9" s="12" t="n">
        <f aca="false">IF(O$4&gt;Assumptions!$C$17,INDEX($C$7:$Z$7,O$4-Assumptions!$C$17)*Assumptions!$C$16,0)</f>
        <v>0.20625</v>
      </c>
      <c r="P9" s="12" t="n">
        <f aca="false">IF(P$4&gt;Assumptions!$C$17,INDEX($C$7:$Z$7,P$4-Assumptions!$C$17)*Assumptions!$C$16,0)</f>
        <v>0.225</v>
      </c>
      <c r="Q9" s="12" t="n">
        <f aca="false">IF(Q$4&gt;Assumptions!$C$17,INDEX($C$7:$Z$7,Q$4-Assumptions!$C$17)*Assumptions!$C$16,0)</f>
        <v>0.24375</v>
      </c>
      <c r="R9" s="12" t="n">
        <f aca="false">IF(R$4&gt;Assumptions!$C$17,INDEX($C$7:$Z$7,R$4-Assumptions!$C$17)*Assumptions!$C$16,0)</f>
        <v>0.2625</v>
      </c>
      <c r="S9" s="12" t="n">
        <f aca="false">IF(S$4&gt;Assumptions!$C$17,INDEX($C$7:$Z$7,S$4-Assumptions!$C$17)*Assumptions!$C$16,0)</f>
        <v>0.28125</v>
      </c>
      <c r="T9" s="12" t="n">
        <f aca="false">IF(T$4&gt;Assumptions!$C$17,INDEX($C$7:$Z$7,T$4-Assumptions!$C$17)*Assumptions!$C$16,0)</f>
        <v>0.3</v>
      </c>
      <c r="U9" s="12" t="n">
        <f aca="false">IF(U$4&gt;Assumptions!$C$17,INDEX($C$7:$Z$7,U$4-Assumptions!$C$17)*Assumptions!$C$16,0)</f>
        <v>0.3</v>
      </c>
      <c r="V9" s="12" t="n">
        <f aca="false">IF(V$4&gt;Assumptions!$C$17,INDEX($C$7:$Z$7,V$4-Assumptions!$C$17)*Assumptions!$C$16,0)</f>
        <v>0.3</v>
      </c>
      <c r="W9" s="12" t="n">
        <f aca="false">IF(W$4&gt;Assumptions!$C$17,INDEX($C$7:$Z$7,W$4-Assumptions!$C$17)*Assumptions!$C$16,0)</f>
        <v>0.3</v>
      </c>
      <c r="X9" s="12" t="n">
        <f aca="false">IF(X$4&gt;Assumptions!$C$17,INDEX($C$7:$Z$7,X$4-Assumptions!$C$17)*Assumptions!$C$16,0)</f>
        <v>0.3</v>
      </c>
      <c r="Y9" s="12" t="n">
        <f aca="false">IF(Y$4&gt;Assumptions!$C$17,INDEX($C$7:$Z$7,Y$4-Assumptions!$C$17)*Assumptions!$C$16,0)</f>
        <v>0.3</v>
      </c>
      <c r="Z9" s="12" t="n">
        <f aca="false">IF(Z$4&gt;Assumptions!$C$17,INDEX($C$7:$Z$7,Z$4-Assumptions!$C$17)*Assumptions!$C$16,0)</f>
        <v>0.3</v>
      </c>
      <c r="AA9" s="44" t="n">
        <f aca="false">SUM(C9:N9)</f>
        <v>0.75</v>
      </c>
      <c r="AB9" s="44" t="n">
        <f aca="false">SUM(O9:Z9)</f>
        <v>3.31875</v>
      </c>
      <c r="AC9" s="44" t="n">
        <f aca="false">AA9+AB9</f>
        <v>4.06875</v>
      </c>
    </row>
    <row r="10" customFormat="false" ht="15" hidden="false" customHeight="true" outlineLevel="0" collapsed="false">
      <c r="A10" s="7" t="s">
        <v>136</v>
      </c>
      <c r="C10" s="9" t="n">
        <f aca="false">C9*Assumptions!$C$5</f>
        <v>0</v>
      </c>
      <c r="D10" s="9" t="n">
        <f aca="false">D9*Assumptions!$C$5</f>
        <v>0</v>
      </c>
      <c r="E10" s="9" t="n">
        <f aca="false">E9*Assumptions!$C$5</f>
        <v>0</v>
      </c>
      <c r="F10" s="9" t="n">
        <f aca="false">F9*Assumptions!$C$5</f>
        <v>0</v>
      </c>
      <c r="G10" s="9" t="n">
        <f aca="false">G9*Assumptions!$C$5</f>
        <v>0</v>
      </c>
      <c r="H10" s="9" t="n">
        <f aca="false">H9*Assumptions!$C$5</f>
        <v>0</v>
      </c>
      <c r="I10" s="9" t="n">
        <f aca="false">I9*Assumptions!$C$5</f>
        <v>0</v>
      </c>
      <c r="J10" s="9" t="n">
        <f aca="false">J9*Assumptions!$C$5</f>
        <v>3937.5</v>
      </c>
      <c r="K10" s="9" t="n">
        <f aca="false">K9*Assumptions!$C$5</f>
        <v>4593.75</v>
      </c>
      <c r="L10" s="9" t="n">
        <f aca="false">L9*Assumptions!$C$5</f>
        <v>5250</v>
      </c>
      <c r="M10" s="9" t="n">
        <f aca="false">M9*Assumptions!$C$5</f>
        <v>5906.25</v>
      </c>
      <c r="N10" s="9" t="n">
        <f aca="false">N9*Assumptions!$C$5</f>
        <v>6562.5</v>
      </c>
      <c r="O10" s="9" t="n">
        <f aca="false">O9*Assumptions!$C$5</f>
        <v>7218.75</v>
      </c>
      <c r="P10" s="9" t="n">
        <f aca="false">P9*Assumptions!$C$5</f>
        <v>7875</v>
      </c>
      <c r="Q10" s="9" t="n">
        <f aca="false">Q9*Assumptions!$C$5</f>
        <v>8531.25</v>
      </c>
      <c r="R10" s="9" t="n">
        <f aca="false">R9*Assumptions!$C$5</f>
        <v>9187.5</v>
      </c>
      <c r="S10" s="9" t="n">
        <f aca="false">S9*Assumptions!$C$5</f>
        <v>9843.75</v>
      </c>
      <c r="T10" s="9" t="n">
        <f aca="false">T9*Assumptions!$C$5</f>
        <v>10500</v>
      </c>
      <c r="U10" s="9" t="n">
        <f aca="false">U9*Assumptions!$C$5</f>
        <v>10500</v>
      </c>
      <c r="V10" s="9" t="n">
        <f aca="false">V9*Assumptions!$C$5</f>
        <v>10500</v>
      </c>
      <c r="W10" s="9" t="n">
        <f aca="false">W9*Assumptions!$C$5</f>
        <v>10500</v>
      </c>
      <c r="X10" s="9" t="n">
        <f aca="false">X9*Assumptions!$C$5</f>
        <v>10500</v>
      </c>
      <c r="Y10" s="9" t="n">
        <f aca="false">Y9*Assumptions!$C$5</f>
        <v>10500</v>
      </c>
      <c r="Z10" s="9" t="n">
        <f aca="false">Z9*Assumptions!$C$5</f>
        <v>10500</v>
      </c>
      <c r="AA10" s="42" t="n">
        <f aca="false">SUM(C10:N10)</f>
        <v>26250</v>
      </c>
      <c r="AB10" s="42" t="n">
        <f aca="false">SUM(O10:Z10)</f>
        <v>116156.25</v>
      </c>
      <c r="AC10" s="42" t="n">
        <f aca="false">AA10+AB10</f>
        <v>142406.25</v>
      </c>
    </row>
    <row r="11" customFormat="false" ht="15" hidden="false" customHeight="true" outlineLevel="0" collapsed="false">
      <c r="A11" s="10" t="s">
        <v>137</v>
      </c>
      <c r="C11" s="45" t="n">
        <f aca="false">C8+C10</f>
        <v>15750</v>
      </c>
      <c r="D11" s="45" t="n">
        <f aca="false">D8+D10</f>
        <v>18375</v>
      </c>
      <c r="E11" s="45" t="n">
        <f aca="false">E8+E10</f>
        <v>21000</v>
      </c>
      <c r="F11" s="45" t="n">
        <f aca="false">F8+F10</f>
        <v>23625</v>
      </c>
      <c r="G11" s="45" t="n">
        <f aca="false">G8+G10</f>
        <v>26250</v>
      </c>
      <c r="H11" s="45" t="n">
        <f aca="false">H8+H10</f>
        <v>28875</v>
      </c>
      <c r="I11" s="45" t="n">
        <f aca="false">I8+I10</f>
        <v>31500</v>
      </c>
      <c r="J11" s="45" t="n">
        <f aca="false">J8+J10</f>
        <v>38062.5</v>
      </c>
      <c r="K11" s="45" t="n">
        <f aca="false">K8+K10</f>
        <v>41343.75</v>
      </c>
      <c r="L11" s="45" t="n">
        <f aca="false">L8+L10</f>
        <v>44625</v>
      </c>
      <c r="M11" s="45" t="n">
        <f aca="false">M8+M10</f>
        <v>47906.25</v>
      </c>
      <c r="N11" s="45" t="n">
        <f aca="false">N8+N10</f>
        <v>48562.5</v>
      </c>
      <c r="O11" s="45" t="n">
        <f aca="false">O8+O10</f>
        <v>49218.75</v>
      </c>
      <c r="P11" s="45" t="n">
        <f aca="false">P8+P10</f>
        <v>49875</v>
      </c>
      <c r="Q11" s="45" t="n">
        <f aca="false">Q8+Q10</f>
        <v>50531.25</v>
      </c>
      <c r="R11" s="45" t="n">
        <f aca="false">R8+R10</f>
        <v>51187.5</v>
      </c>
      <c r="S11" s="45" t="n">
        <f aca="false">S8+S10</f>
        <v>51843.75</v>
      </c>
      <c r="T11" s="45" t="n">
        <f aca="false">T8+T10</f>
        <v>52500</v>
      </c>
      <c r="U11" s="45" t="n">
        <f aca="false">U8+U10</f>
        <v>52500</v>
      </c>
      <c r="V11" s="45" t="n">
        <f aca="false">V8+V10</f>
        <v>52500</v>
      </c>
      <c r="W11" s="45" t="n">
        <f aca="false">W8+W10</f>
        <v>52500</v>
      </c>
      <c r="X11" s="45" t="n">
        <f aca="false">X8+X10</f>
        <v>52500</v>
      </c>
      <c r="Y11" s="45" t="n">
        <f aca="false">Y8+Y10</f>
        <v>52500</v>
      </c>
      <c r="Z11" s="45" t="n">
        <f aca="false">Z8+Z10</f>
        <v>52500</v>
      </c>
      <c r="AA11" s="42" t="n">
        <f aca="false">SUM(C11:N11)</f>
        <v>385875</v>
      </c>
      <c r="AB11" s="42" t="n">
        <f aca="false">SUM(O11:Z11)</f>
        <v>620156.25</v>
      </c>
      <c r="AC11" s="42" t="n">
        <f aca="false">AA11+AB11</f>
        <v>1006031.25</v>
      </c>
    </row>
    <row r="12" customFormat="false" ht="15" hidden="false" customHeight="true" outlineLevel="0" collapsed="false">
      <c r="A12" s="5" t="s">
        <v>138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customFormat="false" ht="15" hidden="false" customHeight="true" outlineLevel="0" collapsed="false">
      <c r="A13" s="7" t="s">
        <v>51</v>
      </c>
      <c r="C13" s="9" t="n">
        <f aca="false">(C8+C10*Assumptions!$C$18)*Assumptions!$C$11*Assumptions!$C$12</f>
        <v>803.25</v>
      </c>
      <c r="D13" s="9" t="n">
        <f aca="false">(D8+D10*Assumptions!$C$18)*Assumptions!$C$11*Assumptions!$C$12</f>
        <v>937.125</v>
      </c>
      <c r="E13" s="9" t="n">
        <f aca="false">(E8+E10*Assumptions!$C$18)*Assumptions!$C$11*Assumptions!$C$12</f>
        <v>1071</v>
      </c>
      <c r="F13" s="9" t="n">
        <f aca="false">(F8+F10*Assumptions!$C$18)*Assumptions!$C$11*Assumptions!$C$12</f>
        <v>1204.875</v>
      </c>
      <c r="G13" s="9" t="n">
        <f aca="false">(G8+G10*Assumptions!$C$18)*Assumptions!$C$11*Assumptions!$C$12</f>
        <v>1338.75</v>
      </c>
      <c r="H13" s="9" t="n">
        <f aca="false">(H8+H10*Assumptions!$C$18)*Assumptions!$C$11*Assumptions!$C$12</f>
        <v>1472.625</v>
      </c>
      <c r="I13" s="9" t="n">
        <f aca="false">(I8+I10*Assumptions!$C$18)*Assumptions!$C$11*Assumptions!$C$12</f>
        <v>1606.5</v>
      </c>
      <c r="J13" s="9" t="n">
        <f aca="false">(J8+J10*Assumptions!$C$18)*Assumptions!$C$11*Assumptions!$C$12</f>
        <v>1740.375</v>
      </c>
      <c r="K13" s="9" t="n">
        <f aca="false">(K8+K10*Assumptions!$C$18)*Assumptions!$C$11*Assumptions!$C$12</f>
        <v>1874.25</v>
      </c>
      <c r="L13" s="9" t="n">
        <f aca="false">(L8+L10*Assumptions!$C$18)*Assumptions!$C$11*Assumptions!$C$12</f>
        <v>2008.125</v>
      </c>
      <c r="M13" s="9" t="n">
        <f aca="false">(M8+M10*Assumptions!$C$18)*Assumptions!$C$11*Assumptions!$C$12</f>
        <v>2142</v>
      </c>
      <c r="N13" s="9" t="n">
        <f aca="false">(N8+N10*Assumptions!$C$18)*Assumptions!$C$11*Assumptions!$C$12</f>
        <v>2142</v>
      </c>
      <c r="O13" s="9" t="n">
        <f aca="false">(O8+O10*Assumptions!$C$18)*Assumptions!$C$11*Assumptions!$C$12</f>
        <v>2142</v>
      </c>
      <c r="P13" s="9" t="n">
        <f aca="false">(P8+P10*Assumptions!$C$18)*Assumptions!$C$11*Assumptions!$C$12</f>
        <v>2142</v>
      </c>
      <c r="Q13" s="9" t="n">
        <f aca="false">(Q8+Q10*Assumptions!$C$18)*Assumptions!$C$11*Assumptions!$C$12</f>
        <v>2142</v>
      </c>
      <c r="R13" s="9" t="n">
        <f aca="false">(R8+R10*Assumptions!$C$18)*Assumptions!$C$11*Assumptions!$C$12</f>
        <v>2142</v>
      </c>
      <c r="S13" s="9" t="n">
        <f aca="false">(S8+S10*Assumptions!$C$18)*Assumptions!$C$11*Assumptions!$C$12</f>
        <v>2142</v>
      </c>
      <c r="T13" s="9" t="n">
        <f aca="false">(T8+T10*Assumptions!$C$18)*Assumptions!$C$11*Assumptions!$C$12</f>
        <v>2142</v>
      </c>
      <c r="U13" s="9" t="n">
        <f aca="false">(U8+U10*Assumptions!$C$18)*Assumptions!$C$11*Assumptions!$C$12</f>
        <v>2142</v>
      </c>
      <c r="V13" s="9" t="n">
        <f aca="false">(V8+V10*Assumptions!$C$18)*Assumptions!$C$11*Assumptions!$C$12</f>
        <v>2142</v>
      </c>
      <c r="W13" s="9" t="n">
        <f aca="false">(W8+W10*Assumptions!$C$18)*Assumptions!$C$11*Assumptions!$C$12</f>
        <v>2142</v>
      </c>
      <c r="X13" s="9" t="n">
        <f aca="false">(X8+X10*Assumptions!$C$18)*Assumptions!$C$11*Assumptions!$C$12</f>
        <v>2142</v>
      </c>
      <c r="Y13" s="9" t="n">
        <f aca="false">(Y8+Y10*Assumptions!$C$18)*Assumptions!$C$11*Assumptions!$C$12</f>
        <v>2142</v>
      </c>
      <c r="Z13" s="9" t="n">
        <f aca="false">(Z8+Z10*Assumptions!$C$18)*Assumptions!$C$11*Assumptions!$C$12</f>
        <v>2142</v>
      </c>
      <c r="AA13" s="42" t="n">
        <f aca="false">SUM(C13:N13)</f>
        <v>18340.875</v>
      </c>
      <c r="AB13" s="42" t="n">
        <f aca="false">SUM(O13:Z13)</f>
        <v>25704</v>
      </c>
      <c r="AC13" s="42" t="n">
        <f aca="false">AA13+AB13</f>
        <v>44044.875</v>
      </c>
    </row>
    <row r="14" customFormat="false" ht="15" hidden="false" customHeight="true" outlineLevel="0" collapsed="false">
      <c r="A14" s="7" t="s">
        <v>53</v>
      </c>
      <c r="C14" s="9" t="n">
        <f aca="false">C11*Assumptions!$C$13*Assumptions!$C$14*(1-Assumptions!$C$15)</f>
        <v>434.7</v>
      </c>
      <c r="D14" s="9" t="n">
        <f aca="false">D11*Assumptions!$C$13*Assumptions!$C$14*(1-Assumptions!$C$15)</f>
        <v>507.15</v>
      </c>
      <c r="E14" s="9" t="n">
        <f aca="false">E11*Assumptions!$C$13*Assumptions!$C$14*(1-Assumptions!$C$15)</f>
        <v>579.6</v>
      </c>
      <c r="F14" s="9" t="n">
        <f aca="false">F11*Assumptions!$C$13*Assumptions!$C$14*(1-Assumptions!$C$15)</f>
        <v>652.05</v>
      </c>
      <c r="G14" s="9" t="n">
        <f aca="false">G11*Assumptions!$C$13*Assumptions!$C$14*(1-Assumptions!$C$15)</f>
        <v>724.5</v>
      </c>
      <c r="H14" s="9" t="n">
        <f aca="false">H11*Assumptions!$C$13*Assumptions!$C$14*(1-Assumptions!$C$15)</f>
        <v>796.95</v>
      </c>
      <c r="I14" s="9" t="n">
        <f aca="false">I11*Assumptions!$C$13*Assumptions!$C$14*(1-Assumptions!$C$15)</f>
        <v>869.4</v>
      </c>
      <c r="J14" s="9" t="n">
        <f aca="false">J11*Assumptions!$C$13*Assumptions!$C$14*(1-Assumptions!$C$15)</f>
        <v>1050.525</v>
      </c>
      <c r="K14" s="9" t="n">
        <f aca="false">K11*Assumptions!$C$13*Assumptions!$C$14*(1-Assumptions!$C$15)</f>
        <v>1141.0875</v>
      </c>
      <c r="L14" s="9" t="n">
        <f aca="false">L11*Assumptions!$C$13*Assumptions!$C$14*(1-Assumptions!$C$15)</f>
        <v>1231.65</v>
      </c>
      <c r="M14" s="9" t="n">
        <f aca="false">M11*Assumptions!$C$13*Assumptions!$C$14*(1-Assumptions!$C$15)</f>
        <v>1322.2125</v>
      </c>
      <c r="N14" s="9" t="n">
        <f aca="false">N11*Assumptions!$C$13*Assumptions!$C$14*(1-Assumptions!$C$15)</f>
        <v>1340.325</v>
      </c>
      <c r="O14" s="9" t="n">
        <f aca="false">O11*Assumptions!$C$13*Assumptions!$C$14*(1-Assumptions!$C$15)</f>
        <v>1358.4375</v>
      </c>
      <c r="P14" s="9" t="n">
        <f aca="false">P11*Assumptions!$C$13*Assumptions!$C$14*(1-Assumptions!$C$15)</f>
        <v>1376.55</v>
      </c>
      <c r="Q14" s="9" t="n">
        <f aca="false">Q11*Assumptions!$C$13*Assumptions!$C$14*(1-Assumptions!$C$15)</f>
        <v>1394.6625</v>
      </c>
      <c r="R14" s="9" t="n">
        <f aca="false">R11*Assumptions!$C$13*Assumptions!$C$14*(1-Assumptions!$C$15)</f>
        <v>1412.775</v>
      </c>
      <c r="S14" s="9" t="n">
        <f aca="false">S11*Assumptions!$C$13*Assumptions!$C$14*(1-Assumptions!$C$15)</f>
        <v>1430.8875</v>
      </c>
      <c r="T14" s="9" t="n">
        <f aca="false">T11*Assumptions!$C$13*Assumptions!$C$14*(1-Assumptions!$C$15)</f>
        <v>1449</v>
      </c>
      <c r="U14" s="9" t="n">
        <f aca="false">U11*Assumptions!$C$13*Assumptions!$C$14*(1-Assumptions!$C$15)</f>
        <v>1449</v>
      </c>
      <c r="V14" s="9" t="n">
        <f aca="false">V11*Assumptions!$C$13*Assumptions!$C$14*(1-Assumptions!$C$15)</f>
        <v>1449</v>
      </c>
      <c r="W14" s="9" t="n">
        <f aca="false">W11*Assumptions!$C$13*Assumptions!$C$14*(1-Assumptions!$C$15)</f>
        <v>1449</v>
      </c>
      <c r="X14" s="9" t="n">
        <f aca="false">X11*Assumptions!$C$13*Assumptions!$C$14*(1-Assumptions!$C$15)</f>
        <v>1449</v>
      </c>
      <c r="Y14" s="9" t="n">
        <f aca="false">Y11*Assumptions!$C$13*Assumptions!$C$14*(1-Assumptions!$C$15)</f>
        <v>1449</v>
      </c>
      <c r="Z14" s="9" t="n">
        <f aca="false">Z11*Assumptions!$C$13*Assumptions!$C$14*(1-Assumptions!$C$15)</f>
        <v>1449</v>
      </c>
      <c r="AA14" s="42" t="n">
        <f aca="false">SUM(C14:N14)</f>
        <v>10650.15</v>
      </c>
      <c r="AB14" s="42" t="n">
        <f aca="false">SUM(O14:Z14)</f>
        <v>17116.3125</v>
      </c>
      <c r="AC14" s="42" t="n">
        <f aca="false">AA14+AB14</f>
        <v>27766.4625</v>
      </c>
    </row>
    <row r="15" customFormat="false" ht="15" hidden="false" customHeight="true" outlineLevel="0" collapsed="false">
      <c r="A15" s="10" t="s">
        <v>11</v>
      </c>
      <c r="C15" s="45" t="n">
        <f aca="false">C13+C14</f>
        <v>1237.95</v>
      </c>
      <c r="D15" s="45" t="n">
        <f aca="false">D13+D14</f>
        <v>1444.275</v>
      </c>
      <c r="E15" s="45" t="n">
        <f aca="false">E13+E14</f>
        <v>1650.6</v>
      </c>
      <c r="F15" s="45" t="n">
        <f aca="false">F13+F14</f>
        <v>1856.925</v>
      </c>
      <c r="G15" s="45" t="n">
        <f aca="false">G13+G14</f>
        <v>2063.25</v>
      </c>
      <c r="H15" s="45" t="n">
        <f aca="false">H13+H14</f>
        <v>2269.575</v>
      </c>
      <c r="I15" s="45" t="n">
        <f aca="false">I13+I14</f>
        <v>2475.9</v>
      </c>
      <c r="J15" s="45" t="n">
        <f aca="false">J13+J14</f>
        <v>2790.9</v>
      </c>
      <c r="K15" s="45" t="n">
        <f aca="false">K13+K14</f>
        <v>3015.3375</v>
      </c>
      <c r="L15" s="45" t="n">
        <f aca="false">L13+L14</f>
        <v>3239.775</v>
      </c>
      <c r="M15" s="45" t="n">
        <f aca="false">M13+M14</f>
        <v>3464.2125</v>
      </c>
      <c r="N15" s="45" t="n">
        <f aca="false">N13+N14</f>
        <v>3482.325</v>
      </c>
      <c r="O15" s="45" t="n">
        <f aca="false">O13+O14</f>
        <v>3500.4375</v>
      </c>
      <c r="P15" s="45" t="n">
        <f aca="false">P13+P14</f>
        <v>3518.55</v>
      </c>
      <c r="Q15" s="45" t="n">
        <f aca="false">Q13+Q14</f>
        <v>3536.6625</v>
      </c>
      <c r="R15" s="45" t="n">
        <f aca="false">R13+R14</f>
        <v>3554.775</v>
      </c>
      <c r="S15" s="45" t="n">
        <f aca="false">S13+S14</f>
        <v>3572.8875</v>
      </c>
      <c r="T15" s="45" t="n">
        <f aca="false">T13+T14</f>
        <v>3591</v>
      </c>
      <c r="U15" s="45" t="n">
        <f aca="false">U13+U14</f>
        <v>3591</v>
      </c>
      <c r="V15" s="45" t="n">
        <f aca="false">V13+V14</f>
        <v>3591</v>
      </c>
      <c r="W15" s="45" t="n">
        <f aca="false">W13+W14</f>
        <v>3591</v>
      </c>
      <c r="X15" s="45" t="n">
        <f aca="false">X13+X14</f>
        <v>3591</v>
      </c>
      <c r="Y15" s="45" t="n">
        <f aca="false">Y13+Y14</f>
        <v>3591</v>
      </c>
      <c r="Z15" s="45" t="n">
        <f aca="false">Z13+Z14</f>
        <v>3591</v>
      </c>
      <c r="AA15" s="42" t="n">
        <f aca="false">SUM(C15:N15)</f>
        <v>28991.025</v>
      </c>
      <c r="AB15" s="42" t="n">
        <f aca="false">SUM(O15:Z15)</f>
        <v>42820.3125</v>
      </c>
      <c r="AC15" s="42" t="n">
        <f aca="false">AA15+AB15</f>
        <v>71811.3375</v>
      </c>
    </row>
    <row r="16" customFormat="false" ht="15" hidden="false" customHeight="true" outlineLevel="0" collapsed="false">
      <c r="A16" s="5" t="s">
        <v>139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customFormat="false" ht="15" hidden="false" customHeight="true" outlineLevel="0" collapsed="false">
      <c r="A17" s="7" t="s">
        <v>12</v>
      </c>
      <c r="C17" s="46" t="n">
        <f aca="false">C5</f>
        <v>3000</v>
      </c>
      <c r="D17" s="46" t="n">
        <f aca="false">D5</f>
        <v>3500</v>
      </c>
      <c r="E17" s="46" t="n">
        <f aca="false">E5</f>
        <v>4000</v>
      </c>
      <c r="F17" s="46" t="n">
        <f aca="false">F5</f>
        <v>4500</v>
      </c>
      <c r="G17" s="46" t="n">
        <f aca="false">G5</f>
        <v>5000</v>
      </c>
      <c r="H17" s="46" t="n">
        <f aca="false">H5</f>
        <v>5500</v>
      </c>
      <c r="I17" s="46" t="n">
        <f aca="false">I5</f>
        <v>6000</v>
      </c>
      <c r="J17" s="46" t="n">
        <f aca="false">J5</f>
        <v>6500</v>
      </c>
      <c r="K17" s="46" t="n">
        <f aca="false">K5</f>
        <v>7000</v>
      </c>
      <c r="L17" s="46" t="n">
        <f aca="false">L5</f>
        <v>7500</v>
      </c>
      <c r="M17" s="46" t="n">
        <f aca="false">M5</f>
        <v>8000</v>
      </c>
      <c r="N17" s="46" t="n">
        <f aca="false">N5</f>
        <v>8000</v>
      </c>
      <c r="O17" s="46" t="n">
        <f aca="false">O5</f>
        <v>8000</v>
      </c>
      <c r="P17" s="46" t="n">
        <f aca="false">P5</f>
        <v>8000</v>
      </c>
      <c r="Q17" s="46" t="n">
        <f aca="false">Q5</f>
        <v>8000</v>
      </c>
      <c r="R17" s="46" t="n">
        <f aca="false">R5</f>
        <v>8000</v>
      </c>
      <c r="S17" s="46" t="n">
        <f aca="false">S5</f>
        <v>8000</v>
      </c>
      <c r="T17" s="46" t="n">
        <f aca="false">T5</f>
        <v>8000</v>
      </c>
      <c r="U17" s="46" t="n">
        <f aca="false">U5</f>
        <v>8000</v>
      </c>
      <c r="V17" s="46" t="n">
        <f aca="false">V5</f>
        <v>8000</v>
      </c>
      <c r="W17" s="46" t="n">
        <f aca="false">W5</f>
        <v>8000</v>
      </c>
      <c r="X17" s="46" t="n">
        <f aca="false">X5</f>
        <v>8000</v>
      </c>
      <c r="Y17" s="46" t="n">
        <f aca="false">Y5</f>
        <v>8000</v>
      </c>
      <c r="Z17" s="46" t="n">
        <f aca="false">Z5</f>
        <v>8000</v>
      </c>
      <c r="AA17" s="42" t="n">
        <f aca="false">SUM(C17:N17)</f>
        <v>68500</v>
      </c>
      <c r="AB17" s="42" t="n">
        <f aca="false">SUM(O17:Z17)</f>
        <v>96000</v>
      </c>
      <c r="AC17" s="42" t="n">
        <f aca="false">AA17+AB17</f>
        <v>164500</v>
      </c>
    </row>
    <row r="18" customFormat="false" ht="15" hidden="false" customHeight="true" outlineLevel="0" collapsed="false">
      <c r="A18" s="7" t="s">
        <v>56</v>
      </c>
      <c r="C18" s="9" t="n">
        <f aca="false">Assumptions!$C$19</f>
        <v>1500</v>
      </c>
      <c r="D18" s="9" t="n">
        <f aca="false">Assumptions!$C$19</f>
        <v>1500</v>
      </c>
      <c r="E18" s="9" t="n">
        <f aca="false">Assumptions!$C$19</f>
        <v>1500</v>
      </c>
      <c r="F18" s="9" t="n">
        <f aca="false">Assumptions!$C$19</f>
        <v>1500</v>
      </c>
      <c r="G18" s="9" t="n">
        <f aca="false">Assumptions!$C$19</f>
        <v>1500</v>
      </c>
      <c r="H18" s="9" t="n">
        <f aca="false">Assumptions!$C$19</f>
        <v>1500</v>
      </c>
      <c r="I18" s="9" t="n">
        <f aca="false">Assumptions!$C$19</f>
        <v>1500</v>
      </c>
      <c r="J18" s="9" t="n">
        <f aca="false">Assumptions!$C$19</f>
        <v>1500</v>
      </c>
      <c r="K18" s="9" t="n">
        <f aca="false">Assumptions!$C$19</f>
        <v>1500</v>
      </c>
      <c r="L18" s="9" t="n">
        <f aca="false">Assumptions!$C$19</f>
        <v>1500</v>
      </c>
      <c r="M18" s="9" t="n">
        <f aca="false">Assumptions!$C$19</f>
        <v>1500</v>
      </c>
      <c r="N18" s="9" t="n">
        <f aca="false">Assumptions!$C$19</f>
        <v>1500</v>
      </c>
      <c r="O18" s="9" t="n">
        <f aca="false">Assumptions!$C$19</f>
        <v>1500</v>
      </c>
      <c r="P18" s="9" t="n">
        <f aca="false">Assumptions!$C$19</f>
        <v>1500</v>
      </c>
      <c r="Q18" s="9" t="n">
        <f aca="false">Assumptions!$C$19</f>
        <v>1500</v>
      </c>
      <c r="R18" s="9" t="n">
        <f aca="false">Assumptions!$C$19</f>
        <v>1500</v>
      </c>
      <c r="S18" s="9" t="n">
        <f aca="false">Assumptions!$C$19</f>
        <v>1500</v>
      </c>
      <c r="T18" s="9" t="n">
        <f aca="false">Assumptions!$C$19</f>
        <v>1500</v>
      </c>
      <c r="U18" s="9" t="n">
        <f aca="false">Assumptions!$C$19</f>
        <v>1500</v>
      </c>
      <c r="V18" s="9" t="n">
        <f aca="false">Assumptions!$C$19</f>
        <v>1500</v>
      </c>
      <c r="W18" s="9" t="n">
        <f aca="false">Assumptions!$C$19</f>
        <v>1500</v>
      </c>
      <c r="X18" s="9" t="n">
        <f aca="false">Assumptions!$C$19</f>
        <v>1500</v>
      </c>
      <c r="Y18" s="9" t="n">
        <f aca="false">Assumptions!$C$19</f>
        <v>1500</v>
      </c>
      <c r="Z18" s="9" t="n">
        <f aca="false">Assumptions!$C$19</f>
        <v>1500</v>
      </c>
      <c r="AA18" s="42" t="n">
        <f aca="false">SUM(C18:N18)</f>
        <v>18000</v>
      </c>
      <c r="AB18" s="42" t="n">
        <f aca="false">SUM(O18:Z18)</f>
        <v>18000</v>
      </c>
      <c r="AC18" s="42" t="n">
        <f aca="false">AA18+AB18</f>
        <v>36000</v>
      </c>
    </row>
    <row r="19" customFormat="false" ht="15" hidden="false" customHeight="true" outlineLevel="0" collapsed="false">
      <c r="A19" s="7" t="s">
        <v>55</v>
      </c>
      <c r="C19" s="9" t="n">
        <f aca="false">(C7+C9)*Assumptions!$C$20</f>
        <v>45</v>
      </c>
      <c r="D19" s="9" t="n">
        <f aca="false">(D7+D9)*Assumptions!$C$20</f>
        <v>52.5</v>
      </c>
      <c r="E19" s="9" t="n">
        <f aca="false">(E7+E9)*Assumptions!$C$20</f>
        <v>60</v>
      </c>
      <c r="F19" s="9" t="n">
        <f aca="false">(F7+F9)*Assumptions!$C$20</f>
        <v>67.5</v>
      </c>
      <c r="G19" s="9" t="n">
        <f aca="false">(G7+G9)*Assumptions!$C$20</f>
        <v>75</v>
      </c>
      <c r="H19" s="9" t="n">
        <f aca="false">(H7+H9)*Assumptions!$C$20</f>
        <v>82.5</v>
      </c>
      <c r="I19" s="9" t="n">
        <f aca="false">(I7+I9)*Assumptions!$C$20</f>
        <v>90</v>
      </c>
      <c r="J19" s="9" t="n">
        <f aca="false">(J7+J9)*Assumptions!$C$20</f>
        <v>108.75</v>
      </c>
      <c r="K19" s="9" t="n">
        <f aca="false">(K7+K9)*Assumptions!$C$20</f>
        <v>118.125</v>
      </c>
      <c r="L19" s="9" t="n">
        <f aca="false">(L7+L9)*Assumptions!$C$20</f>
        <v>127.5</v>
      </c>
      <c r="M19" s="9" t="n">
        <f aca="false">(M7+M9)*Assumptions!$C$20</f>
        <v>136.875</v>
      </c>
      <c r="N19" s="9" t="n">
        <f aca="false">(N7+N9)*Assumptions!$C$20</f>
        <v>138.75</v>
      </c>
      <c r="O19" s="9" t="n">
        <f aca="false">(O7+O9)*Assumptions!$C$20</f>
        <v>140.625</v>
      </c>
      <c r="P19" s="9" t="n">
        <f aca="false">(P7+P9)*Assumptions!$C$20</f>
        <v>142.5</v>
      </c>
      <c r="Q19" s="9" t="n">
        <f aca="false">(Q7+Q9)*Assumptions!$C$20</f>
        <v>144.375</v>
      </c>
      <c r="R19" s="9" t="n">
        <f aca="false">(R7+R9)*Assumptions!$C$20</f>
        <v>146.25</v>
      </c>
      <c r="S19" s="9" t="n">
        <f aca="false">(S7+S9)*Assumptions!$C$20</f>
        <v>148.125</v>
      </c>
      <c r="T19" s="9" t="n">
        <f aca="false">(T7+T9)*Assumptions!$C$20</f>
        <v>150</v>
      </c>
      <c r="U19" s="9" t="n">
        <f aca="false">(U7+U9)*Assumptions!$C$20</f>
        <v>150</v>
      </c>
      <c r="V19" s="9" t="n">
        <f aca="false">(V7+V9)*Assumptions!$C$20</f>
        <v>150</v>
      </c>
      <c r="W19" s="9" t="n">
        <f aca="false">(W7+W9)*Assumptions!$C$20</f>
        <v>150</v>
      </c>
      <c r="X19" s="9" t="n">
        <f aca="false">(X7+X9)*Assumptions!$C$20</f>
        <v>150</v>
      </c>
      <c r="Y19" s="9" t="n">
        <f aca="false">(Y7+Y9)*Assumptions!$C$20</f>
        <v>150</v>
      </c>
      <c r="Z19" s="9" t="n">
        <f aca="false">(Z7+Z9)*Assumptions!$C$20</f>
        <v>150</v>
      </c>
      <c r="AA19" s="42" t="n">
        <f aca="false">SUM(C19:N19)</f>
        <v>1102.5</v>
      </c>
      <c r="AB19" s="42" t="n">
        <f aca="false">SUM(O19:Z19)</f>
        <v>1771.875</v>
      </c>
      <c r="AC19" s="42" t="n">
        <f aca="false">AA19+AB19</f>
        <v>2874.375</v>
      </c>
    </row>
    <row r="20" customFormat="false" ht="15" hidden="false" customHeight="true" outlineLevel="0" collapsed="false">
      <c r="A20" s="10" t="s">
        <v>140</v>
      </c>
      <c r="C20" s="45" t="n">
        <f aca="false">SUM(C17:C19)</f>
        <v>4545</v>
      </c>
      <c r="D20" s="45" t="n">
        <f aca="false">SUM(D17:D19)</f>
        <v>5052.5</v>
      </c>
      <c r="E20" s="45" t="n">
        <f aca="false">SUM(E17:E19)</f>
        <v>5560</v>
      </c>
      <c r="F20" s="45" t="n">
        <f aca="false">SUM(F17:F19)</f>
        <v>6067.5</v>
      </c>
      <c r="G20" s="45" t="n">
        <f aca="false">SUM(G17:G19)</f>
        <v>6575</v>
      </c>
      <c r="H20" s="45" t="n">
        <f aca="false">SUM(H17:H19)</f>
        <v>7082.5</v>
      </c>
      <c r="I20" s="45" t="n">
        <f aca="false">SUM(I17:I19)</f>
        <v>7590</v>
      </c>
      <c r="J20" s="45" t="n">
        <f aca="false">SUM(J17:J19)</f>
        <v>8108.75</v>
      </c>
      <c r="K20" s="45" t="n">
        <f aca="false">SUM(K17:K19)</f>
        <v>8618.125</v>
      </c>
      <c r="L20" s="45" t="n">
        <f aca="false">SUM(L17:L19)</f>
        <v>9127.5</v>
      </c>
      <c r="M20" s="45" t="n">
        <f aca="false">SUM(M17:M19)</f>
        <v>9636.875</v>
      </c>
      <c r="N20" s="45" t="n">
        <f aca="false">SUM(N17:N19)</f>
        <v>9638.75</v>
      </c>
      <c r="O20" s="45" t="n">
        <f aca="false">SUM(O17:O19)</f>
        <v>9640.625</v>
      </c>
      <c r="P20" s="45" t="n">
        <f aca="false">SUM(P17:P19)</f>
        <v>9642.5</v>
      </c>
      <c r="Q20" s="45" t="n">
        <f aca="false">SUM(Q17:Q19)</f>
        <v>9644.375</v>
      </c>
      <c r="R20" s="45" t="n">
        <f aca="false">SUM(R17:R19)</f>
        <v>9646.25</v>
      </c>
      <c r="S20" s="45" t="n">
        <f aca="false">SUM(S17:S19)</f>
        <v>9648.125</v>
      </c>
      <c r="T20" s="45" t="n">
        <f aca="false">SUM(T17:T19)</f>
        <v>9650</v>
      </c>
      <c r="U20" s="45" t="n">
        <f aca="false">SUM(U17:U19)</f>
        <v>9650</v>
      </c>
      <c r="V20" s="45" t="n">
        <f aca="false">SUM(V17:V19)</f>
        <v>9650</v>
      </c>
      <c r="W20" s="45" t="n">
        <f aca="false">SUM(W17:W19)</f>
        <v>9650</v>
      </c>
      <c r="X20" s="45" t="n">
        <f aca="false">SUM(X17:X19)</f>
        <v>9650</v>
      </c>
      <c r="Y20" s="45" t="n">
        <f aca="false">SUM(Y17:Y19)</f>
        <v>9650</v>
      </c>
      <c r="Z20" s="45" t="n">
        <f aca="false">SUM(Z17:Z19)</f>
        <v>9650</v>
      </c>
      <c r="AA20" s="42" t="n">
        <f aca="false">SUM(C20:N20)</f>
        <v>87602.5</v>
      </c>
      <c r="AB20" s="42" t="n">
        <f aca="false">SUM(O20:Z20)</f>
        <v>115771.875</v>
      </c>
      <c r="AC20" s="42" t="n">
        <f aca="false">AA20+AB20</f>
        <v>203374.375</v>
      </c>
    </row>
    <row r="21" customFormat="false" ht="15" hidden="false" customHeight="true" outlineLevel="0" collapsed="false">
      <c r="A21" s="10" t="s">
        <v>13</v>
      </c>
      <c r="C21" s="45" t="n">
        <f aca="false">C15-C20</f>
        <v>-3307.05</v>
      </c>
      <c r="D21" s="45" t="n">
        <f aca="false">D15-D20</f>
        <v>-3608.225</v>
      </c>
      <c r="E21" s="45" t="n">
        <f aca="false">E15-E20</f>
        <v>-3909.4</v>
      </c>
      <c r="F21" s="45" t="n">
        <f aca="false">F15-F20</f>
        <v>-4210.575</v>
      </c>
      <c r="G21" s="45" t="n">
        <f aca="false">G15-G20</f>
        <v>-4511.75</v>
      </c>
      <c r="H21" s="45" t="n">
        <f aca="false">H15-H20</f>
        <v>-4812.925</v>
      </c>
      <c r="I21" s="45" t="n">
        <f aca="false">I15-I20</f>
        <v>-5114.1</v>
      </c>
      <c r="J21" s="45" t="n">
        <f aca="false">J15-J20</f>
        <v>-5317.85</v>
      </c>
      <c r="K21" s="45" t="n">
        <f aca="false">K15-K20</f>
        <v>-5602.7875</v>
      </c>
      <c r="L21" s="45" t="n">
        <f aca="false">L15-L20</f>
        <v>-5887.725</v>
      </c>
      <c r="M21" s="45" t="n">
        <f aca="false">M15-M20</f>
        <v>-6172.6625</v>
      </c>
      <c r="N21" s="45" t="n">
        <f aca="false">N15-N20</f>
        <v>-6156.425</v>
      </c>
      <c r="O21" s="45" t="n">
        <f aca="false">O15-O20</f>
        <v>-6140.1875</v>
      </c>
      <c r="P21" s="45" t="n">
        <f aca="false">P15-P20</f>
        <v>-6123.95</v>
      </c>
      <c r="Q21" s="45" t="n">
        <f aca="false">Q15-Q20</f>
        <v>-6107.7125</v>
      </c>
      <c r="R21" s="45" t="n">
        <f aca="false">R15-R20</f>
        <v>-6091.475</v>
      </c>
      <c r="S21" s="45" t="n">
        <f aca="false">S15-S20</f>
        <v>-6075.2375</v>
      </c>
      <c r="T21" s="45" t="n">
        <f aca="false">T15-T20</f>
        <v>-6059</v>
      </c>
      <c r="U21" s="45" t="n">
        <f aca="false">U15-U20</f>
        <v>-6059</v>
      </c>
      <c r="V21" s="45" t="n">
        <f aca="false">V15-V20</f>
        <v>-6059</v>
      </c>
      <c r="W21" s="45" t="n">
        <f aca="false">W15-W20</f>
        <v>-6059</v>
      </c>
      <c r="X21" s="45" t="n">
        <f aca="false">X15-X20</f>
        <v>-6059</v>
      </c>
      <c r="Y21" s="45" t="n">
        <f aca="false">Y15-Y20</f>
        <v>-6059</v>
      </c>
      <c r="Z21" s="45" t="n">
        <f aca="false">Z15-Z20</f>
        <v>-6059</v>
      </c>
      <c r="AA21" s="42" t="n">
        <f aca="false">SUM(C21:N21)</f>
        <v>-58611.475</v>
      </c>
      <c r="AB21" s="42" t="n">
        <f aca="false">SUM(O21:Z21)</f>
        <v>-72951.5625</v>
      </c>
      <c r="AC21" s="42" t="n">
        <f aca="false">AA21+AB21</f>
        <v>-131563.0375</v>
      </c>
    </row>
    <row r="22" customFormat="false" ht="15" hidden="false" customHeight="true" outlineLevel="0" collapsed="false">
      <c r="A22" s="7" t="s">
        <v>141</v>
      </c>
      <c r="C22" s="46" t="n">
        <f aca="false">C21</f>
        <v>-3307.05</v>
      </c>
      <c r="D22" s="46" t="n">
        <f aca="false">C22+D21</f>
        <v>-6915.275</v>
      </c>
      <c r="E22" s="46" t="n">
        <f aca="false">D22+E21</f>
        <v>-10824.675</v>
      </c>
      <c r="F22" s="46" t="n">
        <f aca="false">E22+F21</f>
        <v>-15035.25</v>
      </c>
      <c r="G22" s="46" t="n">
        <f aca="false">F22+G21</f>
        <v>-19547</v>
      </c>
      <c r="H22" s="46" t="n">
        <f aca="false">G22+H21</f>
        <v>-24359.925</v>
      </c>
      <c r="I22" s="46" t="n">
        <f aca="false">H22+I21</f>
        <v>-29474.025</v>
      </c>
      <c r="J22" s="46" t="n">
        <f aca="false">I22+J21</f>
        <v>-34791.875</v>
      </c>
      <c r="K22" s="46" t="n">
        <f aca="false">J22+K21</f>
        <v>-40394.6625</v>
      </c>
      <c r="L22" s="46" t="n">
        <f aca="false">K22+L21</f>
        <v>-46282.3875</v>
      </c>
      <c r="M22" s="46" t="n">
        <f aca="false">L22+M21</f>
        <v>-52455.05</v>
      </c>
      <c r="N22" s="46" t="n">
        <f aca="false">M22+N21</f>
        <v>-58611.475</v>
      </c>
      <c r="O22" s="46" t="n">
        <f aca="false">N22+O21</f>
        <v>-64751.6625</v>
      </c>
      <c r="P22" s="46" t="n">
        <f aca="false">O22+P21</f>
        <v>-70875.6125</v>
      </c>
      <c r="Q22" s="46" t="n">
        <f aca="false">P22+Q21</f>
        <v>-76983.325</v>
      </c>
      <c r="R22" s="46" t="n">
        <f aca="false">Q22+R21</f>
        <v>-83074.8</v>
      </c>
      <c r="S22" s="46" t="n">
        <f aca="false">R22+S21</f>
        <v>-89150.0375</v>
      </c>
      <c r="T22" s="46" t="n">
        <f aca="false">S22+T21</f>
        <v>-95209.0375</v>
      </c>
      <c r="U22" s="46" t="n">
        <f aca="false">T22+U21</f>
        <v>-101268.0375</v>
      </c>
      <c r="V22" s="46" t="n">
        <f aca="false">U22+V21</f>
        <v>-107327.0375</v>
      </c>
      <c r="W22" s="46" t="n">
        <f aca="false">V22+W21</f>
        <v>-113386.0375</v>
      </c>
      <c r="X22" s="46" t="n">
        <f aca="false">W22+X21</f>
        <v>-119445.0375</v>
      </c>
      <c r="Y22" s="46" t="n">
        <f aca="false">X22+Y21</f>
        <v>-125504.0375</v>
      </c>
      <c r="Z22" s="46" t="n">
        <f aca="false">Y22+Z21</f>
        <v>-131563.0375</v>
      </c>
      <c r="AA22" s="42" t="n">
        <f aca="false">N22</f>
        <v>-58611.475</v>
      </c>
      <c r="AB22" s="42" t="n">
        <f aca="false">Z22</f>
        <v>-131563.0375</v>
      </c>
      <c r="AC22" s="42" t="n">
        <f aca="false">Z22</f>
        <v>-131563.0375</v>
      </c>
    </row>
    <row r="23" customFormat="false" ht="15" hidden="false" customHeight="true" outlineLevel="0" collapsed="false">
      <c r="A23" s="5" t="s">
        <v>142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customFormat="false" ht="15" hidden="false" customHeight="true" outlineLevel="0" collapsed="false">
      <c r="A24" s="7" t="s">
        <v>143</v>
      </c>
      <c r="C24" s="46" t="n">
        <f aca="false">IFERROR(C5/C7,0)</f>
        <v>6666.66666666667</v>
      </c>
      <c r="D24" s="46" t="n">
        <f aca="false">IFERROR(D5/D7,0)</f>
        <v>6666.66666666667</v>
      </c>
      <c r="E24" s="46" t="n">
        <f aca="false">IFERROR(E5/E7,0)</f>
        <v>6666.66666666667</v>
      </c>
      <c r="F24" s="46" t="n">
        <f aca="false">IFERROR(F5/F7,0)</f>
        <v>6666.66666666667</v>
      </c>
      <c r="G24" s="46" t="n">
        <f aca="false">IFERROR(G5/G7,0)</f>
        <v>6666.66666666667</v>
      </c>
      <c r="H24" s="46" t="n">
        <f aca="false">IFERROR(H5/H7,0)</f>
        <v>6666.66666666667</v>
      </c>
      <c r="I24" s="46" t="n">
        <f aca="false">IFERROR(I5/I7,0)</f>
        <v>6666.66666666667</v>
      </c>
      <c r="J24" s="46" t="n">
        <f aca="false">IFERROR(J5/J7,0)</f>
        <v>6666.66666666667</v>
      </c>
      <c r="K24" s="46" t="n">
        <f aca="false">IFERROR(K5/K7,0)</f>
        <v>6666.66666666667</v>
      </c>
      <c r="L24" s="46" t="n">
        <f aca="false">IFERROR(L5/L7,0)</f>
        <v>6666.66666666667</v>
      </c>
      <c r="M24" s="46" t="n">
        <f aca="false">IFERROR(M5/M7,0)</f>
        <v>6666.66666666667</v>
      </c>
      <c r="N24" s="46" t="n">
        <f aca="false">IFERROR(N5/N7,0)</f>
        <v>6666.66666666667</v>
      </c>
      <c r="O24" s="46" t="n">
        <f aca="false">IFERROR(O5/O7,0)</f>
        <v>6666.66666666667</v>
      </c>
      <c r="P24" s="46" t="n">
        <f aca="false">IFERROR(P5/P7,0)</f>
        <v>6666.66666666667</v>
      </c>
      <c r="Q24" s="46" t="n">
        <f aca="false">IFERROR(Q5/Q7,0)</f>
        <v>6666.66666666667</v>
      </c>
      <c r="R24" s="46" t="n">
        <f aca="false">IFERROR(R5/R7,0)</f>
        <v>6666.66666666667</v>
      </c>
      <c r="S24" s="46" t="n">
        <f aca="false">IFERROR(S5/S7,0)</f>
        <v>6666.66666666667</v>
      </c>
      <c r="T24" s="46" t="n">
        <f aca="false">IFERROR(T5/T7,0)</f>
        <v>6666.66666666667</v>
      </c>
      <c r="U24" s="46" t="n">
        <f aca="false">IFERROR(U5/U7,0)</f>
        <v>6666.66666666667</v>
      </c>
      <c r="V24" s="46" t="n">
        <f aca="false">IFERROR(V5/V7,0)</f>
        <v>6666.66666666667</v>
      </c>
      <c r="W24" s="46" t="n">
        <f aca="false">IFERROR(W5/W7,0)</f>
        <v>6666.66666666667</v>
      </c>
      <c r="X24" s="46" t="n">
        <f aca="false">IFERROR(X5/X7,0)</f>
        <v>6666.66666666667</v>
      </c>
      <c r="Y24" s="46" t="n">
        <f aca="false">IFERROR(Y5/Y7,0)</f>
        <v>6666.66666666667</v>
      </c>
      <c r="Z24" s="46" t="n">
        <f aca="false">IFERROR(Z5/Z7,0)</f>
        <v>6666.66666666667</v>
      </c>
      <c r="AA24" s="42" t="n">
        <f aca="false">IFERROR(AA5/AA7,0)</f>
        <v>6666.66666666667</v>
      </c>
      <c r="AB24" s="42" t="n">
        <f aca="false">IFERROR(AB5/AB7,0)</f>
        <v>6666.66666666667</v>
      </c>
      <c r="AC24" s="42" t="n">
        <f aca="false">IFERROR(AC5/AC7,0)</f>
        <v>6666.66666666667</v>
      </c>
    </row>
    <row r="25" customFormat="false" ht="15" hidden="false" customHeight="true" outlineLevel="0" collapsed="false">
      <c r="A25" s="7" t="s">
        <v>144</v>
      </c>
      <c r="C25" s="46" t="n">
        <f aca="false">IFERROR(C15/(C7+C9),0)</f>
        <v>2751</v>
      </c>
      <c r="D25" s="46" t="n">
        <f aca="false">IFERROR(D15/(D7+D9),0)</f>
        <v>2751</v>
      </c>
      <c r="E25" s="46" t="n">
        <f aca="false">IFERROR(E15/(E7+E9),0)</f>
        <v>2751</v>
      </c>
      <c r="F25" s="46" t="n">
        <f aca="false">IFERROR(F15/(F7+F9),0)</f>
        <v>2751</v>
      </c>
      <c r="G25" s="46" t="n">
        <f aca="false">IFERROR(G15/(G7+G9),0)</f>
        <v>2751</v>
      </c>
      <c r="H25" s="46" t="n">
        <f aca="false">IFERROR(H15/(H7+H9),0)</f>
        <v>2751</v>
      </c>
      <c r="I25" s="46" t="n">
        <f aca="false">IFERROR(I15/(I7+I9),0)</f>
        <v>2751</v>
      </c>
      <c r="J25" s="46" t="n">
        <f aca="false">IFERROR(J15/(J7+J9),0)</f>
        <v>2566.34482758621</v>
      </c>
      <c r="K25" s="46" t="n">
        <f aca="false">IFERROR(K15/(K7+K9),0)</f>
        <v>2552.66666666667</v>
      </c>
      <c r="L25" s="46" t="n">
        <f aca="false">IFERROR(L15/(L7+L9),0)</f>
        <v>2541</v>
      </c>
      <c r="M25" s="46" t="n">
        <f aca="false">IFERROR(M15/(M7+M9),0)</f>
        <v>2530.93150684932</v>
      </c>
      <c r="N25" s="46" t="n">
        <f aca="false">IFERROR(N15/(N7+N9),0)</f>
        <v>2509.78378378378</v>
      </c>
      <c r="O25" s="46" t="n">
        <f aca="false">IFERROR(O15/(O7+O9),0)</f>
        <v>2489.2</v>
      </c>
      <c r="P25" s="46" t="n">
        <f aca="false">IFERROR(P15/(P7+P9),0)</f>
        <v>2469.15789473684</v>
      </c>
      <c r="Q25" s="46" t="n">
        <f aca="false">IFERROR(Q15/(Q7+Q9),0)</f>
        <v>2449.63636363636</v>
      </c>
      <c r="R25" s="46" t="n">
        <f aca="false">IFERROR(R15/(R7+R9),0)</f>
        <v>2430.61538461538</v>
      </c>
      <c r="S25" s="46" t="n">
        <f aca="false">IFERROR(S15/(S7+S9),0)</f>
        <v>2412.07594936709</v>
      </c>
      <c r="T25" s="46" t="n">
        <f aca="false">IFERROR(T15/(T7+T9),0)</f>
        <v>2394</v>
      </c>
      <c r="U25" s="46" t="n">
        <f aca="false">IFERROR(U15/(U7+U9),0)</f>
        <v>2394</v>
      </c>
      <c r="V25" s="46" t="n">
        <f aca="false">IFERROR(V15/(V7+V9),0)</f>
        <v>2394</v>
      </c>
      <c r="W25" s="46" t="n">
        <f aca="false">IFERROR(W15/(W7+W9),0)</f>
        <v>2394</v>
      </c>
      <c r="X25" s="46" t="n">
        <f aca="false">IFERROR(X15/(X7+X9),0)</f>
        <v>2394</v>
      </c>
      <c r="Y25" s="46" t="n">
        <f aca="false">IFERROR(Y15/(Y7+Y9),0)</f>
        <v>2394</v>
      </c>
      <c r="Z25" s="46" t="n">
        <f aca="false">IFERROR(Z15/(Z7+Z9),0)</f>
        <v>2394</v>
      </c>
      <c r="AA25" s="42" t="n">
        <f aca="false">IFERROR(AA15/(AA7+AA9),0)</f>
        <v>2629.57142857143</v>
      </c>
      <c r="AB25" s="42" t="n">
        <f aca="false">IFERROR(AB15/(AB7+AB9),0)</f>
        <v>2416.66666666667</v>
      </c>
      <c r="AC25" s="42" t="n">
        <f aca="false">IFERROR(AC15/(AC7+AC9),0)</f>
        <v>2498.32876712329</v>
      </c>
    </row>
    <row r="26" customFormat="false" ht="15" hidden="false" customHeight="true" outlineLevel="0" collapsed="false">
      <c r="A26" s="7" t="s">
        <v>18</v>
      </c>
      <c r="C26" s="47" t="n">
        <f aca="false">C6/21.7</f>
        <v>0.691244239631336</v>
      </c>
      <c r="D26" s="47" t="n">
        <f aca="false">D6/21.7</f>
        <v>0.806451612903226</v>
      </c>
      <c r="E26" s="47" t="n">
        <f aca="false">E6/21.7</f>
        <v>0.921658986175115</v>
      </c>
      <c r="F26" s="47" t="n">
        <f aca="false">F6/21.7</f>
        <v>1.036866359447</v>
      </c>
      <c r="G26" s="47" t="n">
        <f aca="false">G6/21.7</f>
        <v>1.15207373271889</v>
      </c>
      <c r="H26" s="47" t="n">
        <f aca="false">H6/21.7</f>
        <v>1.26728110599078</v>
      </c>
      <c r="I26" s="47" t="n">
        <f aca="false">I6/21.7</f>
        <v>1.38248847926267</v>
      </c>
      <c r="J26" s="47" t="n">
        <f aca="false">J6/21.7</f>
        <v>1.49769585253456</v>
      </c>
      <c r="K26" s="47" t="n">
        <f aca="false">K6/21.7</f>
        <v>1.61290322580645</v>
      </c>
      <c r="L26" s="47" t="n">
        <f aca="false">L6/21.7</f>
        <v>1.72811059907834</v>
      </c>
      <c r="M26" s="47" t="n">
        <f aca="false">M6/21.7</f>
        <v>1.84331797235023</v>
      </c>
      <c r="N26" s="47" t="n">
        <f aca="false">N6/21.7</f>
        <v>1.84331797235023</v>
      </c>
      <c r="O26" s="47" t="n">
        <f aca="false">O6/21.7</f>
        <v>1.84331797235023</v>
      </c>
      <c r="P26" s="47" t="n">
        <f aca="false">P6/21.7</f>
        <v>1.84331797235023</v>
      </c>
      <c r="Q26" s="47" t="n">
        <f aca="false">Q6/21.7</f>
        <v>1.84331797235023</v>
      </c>
      <c r="R26" s="47" t="n">
        <f aca="false">R6/21.7</f>
        <v>1.84331797235023</v>
      </c>
      <c r="S26" s="47" t="n">
        <f aca="false">S6/21.7</f>
        <v>1.84331797235023</v>
      </c>
      <c r="T26" s="47" t="n">
        <f aca="false">T6/21.7</f>
        <v>1.84331797235023</v>
      </c>
      <c r="U26" s="47" t="n">
        <f aca="false">U6/21.7</f>
        <v>1.84331797235023</v>
      </c>
      <c r="V26" s="47" t="n">
        <f aca="false">V6/21.7</f>
        <v>1.84331797235023</v>
      </c>
      <c r="W26" s="47" t="n">
        <f aca="false">W6/21.7</f>
        <v>1.84331797235023</v>
      </c>
      <c r="X26" s="47" t="n">
        <f aca="false">X6/21.7</f>
        <v>1.84331797235023</v>
      </c>
      <c r="Y26" s="47" t="n">
        <f aca="false">Y6/21.7</f>
        <v>1.84331797235023</v>
      </c>
      <c r="Z26" s="47" t="n">
        <f aca="false">Z6/21.7</f>
        <v>1.84331797235023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6" min="3" style="1" width="11.5"/>
    <col collapsed="false" customWidth="true" hidden="false" outlineLevel="0" max="29" min="27" style="1" width="13"/>
  </cols>
  <sheetData>
    <row r="1" customFormat="false" ht="17.25" hidden="false" customHeight="true" outlineLevel="0" collapsed="false">
      <c r="A1" s="2" t="s">
        <v>145</v>
      </c>
    </row>
    <row r="2" customFormat="false" ht="15" hidden="false" customHeight="true" outlineLevel="0" collapsed="false">
      <c r="A2" s="3" t="s">
        <v>146</v>
      </c>
    </row>
    <row r="4" customFormat="false" ht="15" hidden="false" customHeight="true" outlineLevel="0" collapsed="false">
      <c r="A4" s="4" t="s">
        <v>128</v>
      </c>
      <c r="C4" s="39" t="n">
        <v>1</v>
      </c>
      <c r="D4" s="40" t="n">
        <f aca="false">C4+1</f>
        <v>2</v>
      </c>
      <c r="E4" s="40" t="n">
        <f aca="false">D4+1</f>
        <v>3</v>
      </c>
      <c r="F4" s="40" t="n">
        <f aca="false">E4+1</f>
        <v>4</v>
      </c>
      <c r="G4" s="40" t="n">
        <f aca="false">F4+1</f>
        <v>5</v>
      </c>
      <c r="H4" s="40" t="n">
        <f aca="false">G4+1</f>
        <v>6</v>
      </c>
      <c r="I4" s="40" t="n">
        <f aca="false">H4+1</f>
        <v>7</v>
      </c>
      <c r="J4" s="40" t="n">
        <f aca="false">I4+1</f>
        <v>8</v>
      </c>
      <c r="K4" s="40" t="n">
        <f aca="false">J4+1</f>
        <v>9</v>
      </c>
      <c r="L4" s="40" t="n">
        <f aca="false">K4+1</f>
        <v>10</v>
      </c>
      <c r="M4" s="40" t="n">
        <f aca="false">L4+1</f>
        <v>11</v>
      </c>
      <c r="N4" s="40" t="n">
        <f aca="false">M4+1</f>
        <v>12</v>
      </c>
      <c r="O4" s="40" t="n">
        <f aca="false">N4+1</f>
        <v>13</v>
      </c>
      <c r="P4" s="40" t="n">
        <f aca="false">O4+1</f>
        <v>14</v>
      </c>
      <c r="Q4" s="40" t="n">
        <f aca="false">P4+1</f>
        <v>15</v>
      </c>
      <c r="R4" s="40" t="n">
        <f aca="false">Q4+1</f>
        <v>16</v>
      </c>
      <c r="S4" s="40" t="n">
        <f aca="false">R4+1</f>
        <v>17</v>
      </c>
      <c r="T4" s="40" t="n">
        <f aca="false">S4+1</f>
        <v>18</v>
      </c>
      <c r="U4" s="40" t="n">
        <f aca="false">T4+1</f>
        <v>19</v>
      </c>
      <c r="V4" s="40" t="n">
        <f aca="false">U4+1</f>
        <v>20</v>
      </c>
      <c r="W4" s="40" t="n">
        <f aca="false">V4+1</f>
        <v>21</v>
      </c>
      <c r="X4" s="40" t="n">
        <f aca="false">W4+1</f>
        <v>22</v>
      </c>
      <c r="Y4" s="40" t="n">
        <f aca="false">X4+1</f>
        <v>23</v>
      </c>
      <c r="Z4" s="40" t="n">
        <f aca="false">Y4+1</f>
        <v>24</v>
      </c>
      <c r="AA4" s="41" t="s">
        <v>129</v>
      </c>
      <c r="AB4" s="41" t="s">
        <v>130</v>
      </c>
      <c r="AC4" s="41" t="s">
        <v>131</v>
      </c>
    </row>
    <row r="5" customFormat="false" ht="15" hidden="false" customHeight="true" outlineLevel="0" collapsed="false">
      <c r="A5" s="7" t="s">
        <v>12</v>
      </c>
      <c r="C5" s="9" t="n">
        <f aca="false">MIN(Assumptions!$D$8+(C$4-1)*Assumptions!$D$9,Assumptions!$D$10)</f>
        <v>5000</v>
      </c>
      <c r="D5" s="9" t="n">
        <f aca="false">MIN(Assumptions!$D$8+(D$4-1)*Assumptions!$D$9,Assumptions!$D$10)</f>
        <v>6500</v>
      </c>
      <c r="E5" s="9" t="n">
        <f aca="false">MIN(Assumptions!$D$8+(E$4-1)*Assumptions!$D$9,Assumptions!$D$10)</f>
        <v>8000</v>
      </c>
      <c r="F5" s="9" t="n">
        <f aca="false">MIN(Assumptions!$D$8+(F$4-1)*Assumptions!$D$9,Assumptions!$D$10)</f>
        <v>9500</v>
      </c>
      <c r="G5" s="9" t="n">
        <f aca="false">MIN(Assumptions!$D$8+(G$4-1)*Assumptions!$D$9,Assumptions!$D$10)</f>
        <v>11000</v>
      </c>
      <c r="H5" s="9" t="n">
        <f aca="false">MIN(Assumptions!$D$8+(H$4-1)*Assumptions!$D$9,Assumptions!$D$10)</f>
        <v>12500</v>
      </c>
      <c r="I5" s="9" t="n">
        <f aca="false">MIN(Assumptions!$D$8+(I$4-1)*Assumptions!$D$9,Assumptions!$D$10)</f>
        <v>14000</v>
      </c>
      <c r="J5" s="9" t="n">
        <f aca="false">MIN(Assumptions!$D$8+(J$4-1)*Assumptions!$D$9,Assumptions!$D$10)</f>
        <v>15500</v>
      </c>
      <c r="K5" s="9" t="n">
        <f aca="false">MIN(Assumptions!$D$8+(K$4-1)*Assumptions!$D$9,Assumptions!$D$10)</f>
        <v>17000</v>
      </c>
      <c r="L5" s="9" t="n">
        <f aca="false">MIN(Assumptions!$D$8+(L$4-1)*Assumptions!$D$9,Assumptions!$D$10)</f>
        <v>18500</v>
      </c>
      <c r="M5" s="9" t="n">
        <f aca="false">MIN(Assumptions!$D$8+(M$4-1)*Assumptions!$D$9,Assumptions!$D$10)</f>
        <v>20000</v>
      </c>
      <c r="N5" s="9" t="n">
        <f aca="false">MIN(Assumptions!$D$8+(N$4-1)*Assumptions!$D$9,Assumptions!$D$10)</f>
        <v>21500</v>
      </c>
      <c r="O5" s="9" t="n">
        <f aca="false">MIN(Assumptions!$D$8+(O$4-1)*Assumptions!$D$9,Assumptions!$D$10)</f>
        <v>23000</v>
      </c>
      <c r="P5" s="9" t="n">
        <f aca="false">MIN(Assumptions!$D$8+(P$4-1)*Assumptions!$D$9,Assumptions!$D$10)</f>
        <v>24500</v>
      </c>
      <c r="Q5" s="9" t="n">
        <f aca="false">MIN(Assumptions!$D$8+(Q$4-1)*Assumptions!$D$9,Assumptions!$D$10)</f>
        <v>25000</v>
      </c>
      <c r="R5" s="9" t="n">
        <f aca="false">MIN(Assumptions!$D$8+(R$4-1)*Assumptions!$D$9,Assumptions!$D$10)</f>
        <v>25000</v>
      </c>
      <c r="S5" s="9" t="n">
        <f aca="false">MIN(Assumptions!$D$8+(S$4-1)*Assumptions!$D$9,Assumptions!$D$10)</f>
        <v>25000</v>
      </c>
      <c r="T5" s="9" t="n">
        <f aca="false">MIN(Assumptions!$D$8+(T$4-1)*Assumptions!$D$9,Assumptions!$D$10)</f>
        <v>25000</v>
      </c>
      <c r="U5" s="9" t="n">
        <f aca="false">MIN(Assumptions!$D$8+(U$4-1)*Assumptions!$D$9,Assumptions!$D$10)</f>
        <v>25000</v>
      </c>
      <c r="V5" s="9" t="n">
        <f aca="false">MIN(Assumptions!$D$8+(V$4-1)*Assumptions!$D$9,Assumptions!$D$10)</f>
        <v>25000</v>
      </c>
      <c r="W5" s="9" t="n">
        <f aca="false">MIN(Assumptions!$D$8+(W$4-1)*Assumptions!$D$9,Assumptions!$D$10)</f>
        <v>25000</v>
      </c>
      <c r="X5" s="9" t="n">
        <f aca="false">MIN(Assumptions!$D$8+(X$4-1)*Assumptions!$D$9,Assumptions!$D$10)</f>
        <v>25000</v>
      </c>
      <c r="Y5" s="9" t="n">
        <f aca="false">MIN(Assumptions!$D$8+(Y$4-1)*Assumptions!$D$9,Assumptions!$D$10)</f>
        <v>25000</v>
      </c>
      <c r="Z5" s="9" t="n">
        <f aca="false">MIN(Assumptions!$D$8+(Z$4-1)*Assumptions!$D$9,Assumptions!$D$10)</f>
        <v>25000</v>
      </c>
      <c r="AA5" s="42" t="n">
        <f aca="false">SUM(C5:N5)</f>
        <v>159000</v>
      </c>
      <c r="AB5" s="42" t="n">
        <f aca="false">SUM(O5:Z5)</f>
        <v>297500</v>
      </c>
      <c r="AC5" s="42" t="n">
        <f aca="false">AA5+AB5</f>
        <v>456500</v>
      </c>
    </row>
    <row r="6" customFormat="false" ht="15" hidden="false" customHeight="true" outlineLevel="0" collapsed="false">
      <c r="A6" s="7" t="s">
        <v>132</v>
      </c>
      <c r="C6" s="8" t="n">
        <f aca="false">C5/Assumptions!$D$6</f>
        <v>38.4615384615385</v>
      </c>
      <c r="D6" s="8" t="n">
        <f aca="false">D5/Assumptions!$D$6</f>
        <v>50</v>
      </c>
      <c r="E6" s="8" t="n">
        <f aca="false">E5/Assumptions!$D$6</f>
        <v>61.5384615384615</v>
      </c>
      <c r="F6" s="8" t="n">
        <f aca="false">F5/Assumptions!$D$6</f>
        <v>73.0769230769231</v>
      </c>
      <c r="G6" s="8" t="n">
        <f aca="false">G5/Assumptions!$D$6</f>
        <v>84.6153846153846</v>
      </c>
      <c r="H6" s="8" t="n">
        <f aca="false">H5/Assumptions!$D$6</f>
        <v>96.1538461538462</v>
      </c>
      <c r="I6" s="8" t="n">
        <f aca="false">I5/Assumptions!$D$6</f>
        <v>107.692307692308</v>
      </c>
      <c r="J6" s="8" t="n">
        <f aca="false">J5/Assumptions!$D$6</f>
        <v>119.230769230769</v>
      </c>
      <c r="K6" s="8" t="n">
        <f aca="false">K5/Assumptions!$D$6</f>
        <v>130.769230769231</v>
      </c>
      <c r="L6" s="8" t="n">
        <f aca="false">L5/Assumptions!$D$6</f>
        <v>142.307692307692</v>
      </c>
      <c r="M6" s="8" t="n">
        <f aca="false">M5/Assumptions!$D$6</f>
        <v>153.846153846154</v>
      </c>
      <c r="N6" s="8" t="n">
        <f aca="false">N5/Assumptions!$D$6</f>
        <v>165.384615384615</v>
      </c>
      <c r="O6" s="8" t="n">
        <f aca="false">O5/Assumptions!$D$6</f>
        <v>176.923076923077</v>
      </c>
      <c r="P6" s="8" t="n">
        <f aca="false">P5/Assumptions!$D$6</f>
        <v>188.461538461538</v>
      </c>
      <c r="Q6" s="8" t="n">
        <f aca="false">Q5/Assumptions!$D$6</f>
        <v>192.307692307692</v>
      </c>
      <c r="R6" s="8" t="n">
        <f aca="false">R5/Assumptions!$D$6</f>
        <v>192.307692307692</v>
      </c>
      <c r="S6" s="8" t="n">
        <f aca="false">S5/Assumptions!$D$6</f>
        <v>192.307692307692</v>
      </c>
      <c r="T6" s="8" t="n">
        <f aca="false">T5/Assumptions!$D$6</f>
        <v>192.307692307692</v>
      </c>
      <c r="U6" s="8" t="n">
        <f aca="false">U5/Assumptions!$D$6</f>
        <v>192.307692307692</v>
      </c>
      <c r="V6" s="8" t="n">
        <f aca="false">V5/Assumptions!$D$6</f>
        <v>192.307692307692</v>
      </c>
      <c r="W6" s="8" t="n">
        <f aca="false">W5/Assumptions!$D$6</f>
        <v>192.307692307692</v>
      </c>
      <c r="X6" s="8" t="n">
        <f aca="false">X5/Assumptions!$D$6</f>
        <v>192.307692307692</v>
      </c>
      <c r="Y6" s="8" t="n">
        <f aca="false">Y5/Assumptions!$D$6</f>
        <v>192.307692307692</v>
      </c>
      <c r="Z6" s="8" t="n">
        <f aca="false">Z5/Assumptions!$D$6</f>
        <v>192.307692307692</v>
      </c>
      <c r="AA6" s="43" t="n">
        <f aca="false">SUM(C6:N6)</f>
        <v>1223.07692307692</v>
      </c>
      <c r="AB6" s="43" t="n">
        <f aca="false">SUM(O6:Z6)</f>
        <v>2288.46153846154</v>
      </c>
      <c r="AC6" s="43" t="n">
        <f aca="false">AA6+AB6</f>
        <v>3511.53846153846</v>
      </c>
    </row>
    <row r="7" customFormat="false" ht="15" hidden="false" customHeight="true" outlineLevel="0" collapsed="false">
      <c r="A7" s="7" t="s">
        <v>133</v>
      </c>
      <c r="C7" s="12" t="n">
        <f aca="false">C6*Assumptions!$D$7</f>
        <v>1.92307692307692</v>
      </c>
      <c r="D7" s="12" t="n">
        <f aca="false">D6*Assumptions!$D$7</f>
        <v>2.5</v>
      </c>
      <c r="E7" s="12" t="n">
        <f aca="false">E6*Assumptions!$D$7</f>
        <v>3.07692307692308</v>
      </c>
      <c r="F7" s="12" t="n">
        <f aca="false">F6*Assumptions!$D$7</f>
        <v>3.65384615384615</v>
      </c>
      <c r="G7" s="12" t="n">
        <f aca="false">G6*Assumptions!$D$7</f>
        <v>4.23076923076923</v>
      </c>
      <c r="H7" s="12" t="n">
        <f aca="false">H6*Assumptions!$D$7</f>
        <v>4.80769230769231</v>
      </c>
      <c r="I7" s="12" t="n">
        <f aca="false">I6*Assumptions!$D$7</f>
        <v>5.38461538461539</v>
      </c>
      <c r="J7" s="12" t="n">
        <f aca="false">J6*Assumptions!$D$7</f>
        <v>5.96153846153846</v>
      </c>
      <c r="K7" s="12" t="n">
        <f aca="false">K6*Assumptions!$D$7</f>
        <v>6.53846153846154</v>
      </c>
      <c r="L7" s="12" t="n">
        <f aca="false">L6*Assumptions!$D$7</f>
        <v>7.11538461538462</v>
      </c>
      <c r="M7" s="12" t="n">
        <f aca="false">M6*Assumptions!$D$7</f>
        <v>7.69230769230769</v>
      </c>
      <c r="N7" s="12" t="n">
        <f aca="false">N6*Assumptions!$D$7</f>
        <v>8.26923076923077</v>
      </c>
      <c r="O7" s="12" t="n">
        <f aca="false">O6*Assumptions!$D$7</f>
        <v>8.84615384615385</v>
      </c>
      <c r="P7" s="12" t="n">
        <f aca="false">P6*Assumptions!$D$7</f>
        <v>9.42307692307692</v>
      </c>
      <c r="Q7" s="12" t="n">
        <f aca="false">Q6*Assumptions!$D$7</f>
        <v>9.61538461538462</v>
      </c>
      <c r="R7" s="12" t="n">
        <f aca="false">R6*Assumptions!$D$7</f>
        <v>9.61538461538462</v>
      </c>
      <c r="S7" s="12" t="n">
        <f aca="false">S6*Assumptions!$D$7</f>
        <v>9.61538461538462</v>
      </c>
      <c r="T7" s="12" t="n">
        <f aca="false">T6*Assumptions!$D$7</f>
        <v>9.61538461538462</v>
      </c>
      <c r="U7" s="12" t="n">
        <f aca="false">U6*Assumptions!$D$7</f>
        <v>9.61538461538462</v>
      </c>
      <c r="V7" s="12" t="n">
        <f aca="false">V6*Assumptions!$D$7</f>
        <v>9.61538461538462</v>
      </c>
      <c r="W7" s="12" t="n">
        <f aca="false">W6*Assumptions!$D$7</f>
        <v>9.61538461538462</v>
      </c>
      <c r="X7" s="12" t="n">
        <f aca="false">X6*Assumptions!$D$7</f>
        <v>9.61538461538462</v>
      </c>
      <c r="Y7" s="12" t="n">
        <f aca="false">Y6*Assumptions!$D$7</f>
        <v>9.61538461538462</v>
      </c>
      <c r="Z7" s="12" t="n">
        <f aca="false">Z6*Assumptions!$D$7</f>
        <v>9.61538461538462</v>
      </c>
      <c r="AA7" s="44" t="n">
        <f aca="false">SUM(C7:N7)</f>
        <v>61.1538461538462</v>
      </c>
      <c r="AB7" s="44" t="n">
        <f aca="false">SUM(O7:Z7)</f>
        <v>114.423076923077</v>
      </c>
      <c r="AC7" s="44" t="n">
        <f aca="false">AA7+AB7</f>
        <v>175.576923076923</v>
      </c>
    </row>
    <row r="8" customFormat="false" ht="15" hidden="false" customHeight="true" outlineLevel="0" collapsed="false">
      <c r="A8" s="7" t="s">
        <v>134</v>
      </c>
      <c r="C8" s="9" t="n">
        <f aca="false">C7*Assumptions!$D$5</f>
        <v>96153.8461538462</v>
      </c>
      <c r="D8" s="9" t="n">
        <f aca="false">D7*Assumptions!$D$5</f>
        <v>125000</v>
      </c>
      <c r="E8" s="9" t="n">
        <f aca="false">E7*Assumptions!$D$5</f>
        <v>153846.153846154</v>
      </c>
      <c r="F8" s="9" t="n">
        <f aca="false">F7*Assumptions!$D$5</f>
        <v>182692.307692308</v>
      </c>
      <c r="G8" s="9" t="n">
        <f aca="false">G7*Assumptions!$D$5</f>
        <v>211538.461538462</v>
      </c>
      <c r="H8" s="9" t="n">
        <f aca="false">H7*Assumptions!$D$5</f>
        <v>240384.615384615</v>
      </c>
      <c r="I8" s="9" t="n">
        <f aca="false">I7*Assumptions!$D$5</f>
        <v>269230.769230769</v>
      </c>
      <c r="J8" s="9" t="n">
        <f aca="false">J7*Assumptions!$D$5</f>
        <v>298076.923076923</v>
      </c>
      <c r="K8" s="9" t="n">
        <f aca="false">K7*Assumptions!$D$5</f>
        <v>326923.076923077</v>
      </c>
      <c r="L8" s="9" t="n">
        <f aca="false">L7*Assumptions!$D$5</f>
        <v>355769.230769231</v>
      </c>
      <c r="M8" s="9" t="n">
        <f aca="false">M7*Assumptions!$D$5</f>
        <v>384615.384615385</v>
      </c>
      <c r="N8" s="9" t="n">
        <f aca="false">N7*Assumptions!$D$5</f>
        <v>413461.538461539</v>
      </c>
      <c r="O8" s="9" t="n">
        <f aca="false">O7*Assumptions!$D$5</f>
        <v>442307.692307692</v>
      </c>
      <c r="P8" s="9" t="n">
        <f aca="false">P7*Assumptions!$D$5</f>
        <v>471153.846153846</v>
      </c>
      <c r="Q8" s="9" t="n">
        <f aca="false">Q7*Assumptions!$D$5</f>
        <v>480769.230769231</v>
      </c>
      <c r="R8" s="9" t="n">
        <f aca="false">R7*Assumptions!$D$5</f>
        <v>480769.230769231</v>
      </c>
      <c r="S8" s="9" t="n">
        <f aca="false">S7*Assumptions!$D$5</f>
        <v>480769.230769231</v>
      </c>
      <c r="T8" s="9" t="n">
        <f aca="false">T7*Assumptions!$D$5</f>
        <v>480769.230769231</v>
      </c>
      <c r="U8" s="9" t="n">
        <f aca="false">U7*Assumptions!$D$5</f>
        <v>480769.230769231</v>
      </c>
      <c r="V8" s="9" t="n">
        <f aca="false">V7*Assumptions!$D$5</f>
        <v>480769.230769231</v>
      </c>
      <c r="W8" s="9" t="n">
        <f aca="false">W7*Assumptions!$D$5</f>
        <v>480769.230769231</v>
      </c>
      <c r="X8" s="9" t="n">
        <f aca="false">X7*Assumptions!$D$5</f>
        <v>480769.230769231</v>
      </c>
      <c r="Y8" s="9" t="n">
        <f aca="false">Y7*Assumptions!$D$5</f>
        <v>480769.230769231</v>
      </c>
      <c r="Z8" s="9" t="n">
        <f aca="false">Z7*Assumptions!$D$5</f>
        <v>480769.230769231</v>
      </c>
      <c r="AA8" s="42" t="n">
        <f aca="false">SUM(C8:N8)</f>
        <v>3057692.30769231</v>
      </c>
      <c r="AB8" s="42" t="n">
        <f aca="false">SUM(O8:Z8)</f>
        <v>5721153.84615385</v>
      </c>
      <c r="AC8" s="42" t="n">
        <f aca="false">AA8+AB8</f>
        <v>8778846.15384616</v>
      </c>
    </row>
    <row r="9" customFormat="false" ht="15" hidden="false" customHeight="true" outlineLevel="0" collapsed="false">
      <c r="A9" s="7" t="s">
        <v>135</v>
      </c>
      <c r="C9" s="12" t="n">
        <f aca="false">IF(C$4&gt;Assumptions!$D$17,INDEX($C$7:$Z$7,C$4-Assumptions!$D$17)*Assumptions!$D$16,0)</f>
        <v>0</v>
      </c>
      <c r="D9" s="12" t="n">
        <f aca="false">IF(D$4&gt;Assumptions!$D$17,INDEX($C$7:$Z$7,D$4-Assumptions!$D$17)*Assumptions!$D$16,0)</f>
        <v>0</v>
      </c>
      <c r="E9" s="12" t="n">
        <f aca="false">IF(E$4&gt;Assumptions!$D$17,INDEX($C$7:$Z$7,E$4-Assumptions!$D$17)*Assumptions!$D$16,0)</f>
        <v>0</v>
      </c>
      <c r="F9" s="12" t="n">
        <f aca="false">IF(F$4&gt;Assumptions!$D$17,INDEX($C$7:$Z$7,F$4-Assumptions!$D$17)*Assumptions!$D$16,0)</f>
        <v>0</v>
      </c>
      <c r="G9" s="12" t="n">
        <f aca="false">IF(G$4&gt;Assumptions!$D$17,INDEX($C$7:$Z$7,G$4-Assumptions!$D$17)*Assumptions!$D$16,0)</f>
        <v>0</v>
      </c>
      <c r="H9" s="12" t="n">
        <f aca="false">IF(H$4&gt;Assumptions!$D$17,INDEX($C$7:$Z$7,H$4-Assumptions!$D$17)*Assumptions!$D$16,0)</f>
        <v>0</v>
      </c>
      <c r="I9" s="12" t="n">
        <f aca="false">IF(I$4&gt;Assumptions!$D$17,INDEX($C$7:$Z$7,I$4-Assumptions!$D$17)*Assumptions!$D$16,0)</f>
        <v>0.673076923076923</v>
      </c>
      <c r="J9" s="12" t="n">
        <f aca="false">IF(J$4&gt;Assumptions!$D$17,INDEX($C$7:$Z$7,J$4-Assumptions!$D$17)*Assumptions!$D$16,0)</f>
        <v>0.875</v>
      </c>
      <c r="K9" s="12" t="n">
        <f aca="false">IF(K$4&gt;Assumptions!$D$17,INDEX($C$7:$Z$7,K$4-Assumptions!$D$17)*Assumptions!$D$16,0)</f>
        <v>1.07692307692308</v>
      </c>
      <c r="L9" s="12" t="n">
        <f aca="false">IF(L$4&gt;Assumptions!$D$17,INDEX($C$7:$Z$7,L$4-Assumptions!$D$17)*Assumptions!$D$16,0)</f>
        <v>1.27884615384615</v>
      </c>
      <c r="M9" s="12" t="n">
        <f aca="false">IF(M$4&gt;Assumptions!$D$17,INDEX($C$7:$Z$7,M$4-Assumptions!$D$17)*Assumptions!$D$16,0)</f>
        <v>1.48076923076923</v>
      </c>
      <c r="N9" s="12" t="n">
        <f aca="false">IF(N$4&gt;Assumptions!$D$17,INDEX($C$7:$Z$7,N$4-Assumptions!$D$17)*Assumptions!$D$16,0)</f>
        <v>1.68269230769231</v>
      </c>
      <c r="O9" s="12" t="n">
        <f aca="false">IF(O$4&gt;Assumptions!$D$17,INDEX($C$7:$Z$7,O$4-Assumptions!$D$17)*Assumptions!$D$16,0)</f>
        <v>1.88461538461538</v>
      </c>
      <c r="P9" s="12" t="n">
        <f aca="false">IF(P$4&gt;Assumptions!$D$17,INDEX($C$7:$Z$7,P$4-Assumptions!$D$17)*Assumptions!$D$16,0)</f>
        <v>2.08653846153846</v>
      </c>
      <c r="Q9" s="12" t="n">
        <f aca="false">IF(Q$4&gt;Assumptions!$D$17,INDEX($C$7:$Z$7,Q$4-Assumptions!$D$17)*Assumptions!$D$16,0)</f>
        <v>2.28846153846154</v>
      </c>
      <c r="R9" s="12" t="n">
        <f aca="false">IF(R$4&gt;Assumptions!$D$17,INDEX($C$7:$Z$7,R$4-Assumptions!$D$17)*Assumptions!$D$16,0)</f>
        <v>2.49038461538462</v>
      </c>
      <c r="S9" s="12" t="n">
        <f aca="false">IF(S$4&gt;Assumptions!$D$17,INDEX($C$7:$Z$7,S$4-Assumptions!$D$17)*Assumptions!$D$16,0)</f>
        <v>2.69230769230769</v>
      </c>
      <c r="T9" s="12" t="n">
        <f aca="false">IF(T$4&gt;Assumptions!$D$17,INDEX($C$7:$Z$7,T$4-Assumptions!$D$17)*Assumptions!$D$16,0)</f>
        <v>2.89423076923077</v>
      </c>
      <c r="U9" s="12" t="n">
        <f aca="false">IF(U$4&gt;Assumptions!$D$17,INDEX($C$7:$Z$7,U$4-Assumptions!$D$17)*Assumptions!$D$16,0)</f>
        <v>3.09615384615385</v>
      </c>
      <c r="V9" s="12" t="n">
        <f aca="false">IF(V$4&gt;Assumptions!$D$17,INDEX($C$7:$Z$7,V$4-Assumptions!$D$17)*Assumptions!$D$16,0)</f>
        <v>3.29807692307692</v>
      </c>
      <c r="W9" s="12" t="n">
        <f aca="false">IF(W$4&gt;Assumptions!$D$17,INDEX($C$7:$Z$7,W$4-Assumptions!$D$17)*Assumptions!$D$16,0)</f>
        <v>3.36538461538462</v>
      </c>
      <c r="X9" s="12" t="n">
        <f aca="false">IF(X$4&gt;Assumptions!$D$17,INDEX($C$7:$Z$7,X$4-Assumptions!$D$17)*Assumptions!$D$16,0)</f>
        <v>3.36538461538462</v>
      </c>
      <c r="Y9" s="12" t="n">
        <f aca="false">IF(Y$4&gt;Assumptions!$D$17,INDEX($C$7:$Z$7,Y$4-Assumptions!$D$17)*Assumptions!$D$16,0)</f>
        <v>3.36538461538462</v>
      </c>
      <c r="Z9" s="12" t="n">
        <f aca="false">IF(Z$4&gt;Assumptions!$D$17,INDEX($C$7:$Z$7,Z$4-Assumptions!$D$17)*Assumptions!$D$16,0)</f>
        <v>3.36538461538462</v>
      </c>
      <c r="AA9" s="44" t="n">
        <f aca="false">SUM(C9:N9)</f>
        <v>7.06730769230769</v>
      </c>
      <c r="AB9" s="44" t="n">
        <f aca="false">SUM(O9:Z9)</f>
        <v>34.1923076923077</v>
      </c>
      <c r="AC9" s="44" t="n">
        <f aca="false">AA9+AB9</f>
        <v>41.2596153846154</v>
      </c>
    </row>
    <row r="10" customFormat="false" ht="15" hidden="false" customHeight="true" outlineLevel="0" collapsed="false">
      <c r="A10" s="7" t="s">
        <v>136</v>
      </c>
      <c r="C10" s="9" t="n">
        <f aca="false">C9*Assumptions!$D$5</f>
        <v>0</v>
      </c>
      <c r="D10" s="9" t="n">
        <f aca="false">D9*Assumptions!$D$5</f>
        <v>0</v>
      </c>
      <c r="E10" s="9" t="n">
        <f aca="false">E9*Assumptions!$D$5</f>
        <v>0</v>
      </c>
      <c r="F10" s="9" t="n">
        <f aca="false">F9*Assumptions!$D$5</f>
        <v>0</v>
      </c>
      <c r="G10" s="9" t="n">
        <f aca="false">G9*Assumptions!$D$5</f>
        <v>0</v>
      </c>
      <c r="H10" s="9" t="n">
        <f aca="false">H9*Assumptions!$D$5</f>
        <v>0</v>
      </c>
      <c r="I10" s="9" t="n">
        <f aca="false">I9*Assumptions!$D$5</f>
        <v>33653.8461538462</v>
      </c>
      <c r="J10" s="9" t="n">
        <f aca="false">J9*Assumptions!$D$5</f>
        <v>43750</v>
      </c>
      <c r="K10" s="9" t="n">
        <f aca="false">K9*Assumptions!$D$5</f>
        <v>53846.1538461538</v>
      </c>
      <c r="L10" s="9" t="n">
        <f aca="false">L9*Assumptions!$D$5</f>
        <v>63942.3076923077</v>
      </c>
      <c r="M10" s="9" t="n">
        <f aca="false">M9*Assumptions!$D$5</f>
        <v>74038.4615384615</v>
      </c>
      <c r="N10" s="9" t="n">
        <f aca="false">N9*Assumptions!$D$5</f>
        <v>84134.6153846154</v>
      </c>
      <c r="O10" s="9" t="n">
        <f aca="false">O9*Assumptions!$D$5</f>
        <v>94230.7692307692</v>
      </c>
      <c r="P10" s="9" t="n">
        <f aca="false">P9*Assumptions!$D$5</f>
        <v>104326.923076923</v>
      </c>
      <c r="Q10" s="9" t="n">
        <f aca="false">Q9*Assumptions!$D$5</f>
        <v>114423.076923077</v>
      </c>
      <c r="R10" s="9" t="n">
        <f aca="false">R9*Assumptions!$D$5</f>
        <v>124519.230769231</v>
      </c>
      <c r="S10" s="9" t="n">
        <f aca="false">S9*Assumptions!$D$5</f>
        <v>134615.384615385</v>
      </c>
      <c r="T10" s="9" t="n">
        <f aca="false">T9*Assumptions!$D$5</f>
        <v>144711.538461538</v>
      </c>
      <c r="U10" s="9" t="n">
        <f aca="false">U9*Assumptions!$D$5</f>
        <v>154807.692307692</v>
      </c>
      <c r="V10" s="9" t="n">
        <f aca="false">V9*Assumptions!$D$5</f>
        <v>164903.846153846</v>
      </c>
      <c r="W10" s="9" t="n">
        <f aca="false">W9*Assumptions!$D$5</f>
        <v>168269.230769231</v>
      </c>
      <c r="X10" s="9" t="n">
        <f aca="false">X9*Assumptions!$D$5</f>
        <v>168269.230769231</v>
      </c>
      <c r="Y10" s="9" t="n">
        <f aca="false">Y9*Assumptions!$D$5</f>
        <v>168269.230769231</v>
      </c>
      <c r="Z10" s="9" t="n">
        <f aca="false">Z9*Assumptions!$D$5</f>
        <v>168269.230769231</v>
      </c>
      <c r="AA10" s="42" t="n">
        <f aca="false">SUM(C10:N10)</f>
        <v>353365.384615385</v>
      </c>
      <c r="AB10" s="42" t="n">
        <f aca="false">SUM(O10:Z10)</f>
        <v>1709615.38461538</v>
      </c>
      <c r="AC10" s="42" t="n">
        <f aca="false">AA10+AB10</f>
        <v>2062980.76923077</v>
      </c>
    </row>
    <row r="11" customFormat="false" ht="15" hidden="false" customHeight="true" outlineLevel="0" collapsed="false">
      <c r="A11" s="10" t="s">
        <v>137</v>
      </c>
      <c r="C11" s="45" t="n">
        <f aca="false">C8+C10</f>
        <v>96153.8461538462</v>
      </c>
      <c r="D11" s="45" t="n">
        <f aca="false">D8+D10</f>
        <v>125000</v>
      </c>
      <c r="E11" s="45" t="n">
        <f aca="false">E8+E10</f>
        <v>153846.153846154</v>
      </c>
      <c r="F11" s="45" t="n">
        <f aca="false">F8+F10</f>
        <v>182692.307692308</v>
      </c>
      <c r="G11" s="45" t="n">
        <f aca="false">G8+G10</f>
        <v>211538.461538462</v>
      </c>
      <c r="H11" s="45" t="n">
        <f aca="false">H8+H10</f>
        <v>240384.615384615</v>
      </c>
      <c r="I11" s="45" t="n">
        <f aca="false">I8+I10</f>
        <v>302884.615384615</v>
      </c>
      <c r="J11" s="45" t="n">
        <f aca="false">J8+J10</f>
        <v>341826.923076923</v>
      </c>
      <c r="K11" s="45" t="n">
        <f aca="false">K8+K10</f>
        <v>380769.230769231</v>
      </c>
      <c r="L11" s="45" t="n">
        <f aca="false">L8+L10</f>
        <v>419711.538461539</v>
      </c>
      <c r="M11" s="45" t="n">
        <f aca="false">M8+M10</f>
        <v>458653.846153846</v>
      </c>
      <c r="N11" s="45" t="n">
        <f aca="false">N8+N10</f>
        <v>497596.153846154</v>
      </c>
      <c r="O11" s="45" t="n">
        <f aca="false">O8+O10</f>
        <v>536538.461538462</v>
      </c>
      <c r="P11" s="45" t="n">
        <f aca="false">P8+P10</f>
        <v>575480.769230769</v>
      </c>
      <c r="Q11" s="45" t="n">
        <f aca="false">Q8+Q10</f>
        <v>595192.307692308</v>
      </c>
      <c r="R11" s="45" t="n">
        <f aca="false">R8+R10</f>
        <v>605288.461538462</v>
      </c>
      <c r="S11" s="45" t="n">
        <f aca="false">S8+S10</f>
        <v>615384.615384615</v>
      </c>
      <c r="T11" s="45" t="n">
        <f aca="false">T8+T10</f>
        <v>625480.769230769</v>
      </c>
      <c r="U11" s="45" t="n">
        <f aca="false">U8+U10</f>
        <v>635576.923076923</v>
      </c>
      <c r="V11" s="45" t="n">
        <f aca="false">V8+V10</f>
        <v>645673.076923077</v>
      </c>
      <c r="W11" s="45" t="n">
        <f aca="false">W8+W10</f>
        <v>649038.461538462</v>
      </c>
      <c r="X11" s="45" t="n">
        <f aca="false">X8+X10</f>
        <v>649038.461538462</v>
      </c>
      <c r="Y11" s="45" t="n">
        <f aca="false">Y8+Y10</f>
        <v>649038.461538462</v>
      </c>
      <c r="Z11" s="45" t="n">
        <f aca="false">Z8+Z10</f>
        <v>649038.461538462</v>
      </c>
      <c r="AA11" s="42" t="n">
        <f aca="false">SUM(C11:N11)</f>
        <v>3411057.69230769</v>
      </c>
      <c r="AB11" s="42" t="n">
        <f aca="false">SUM(O11:Z11)</f>
        <v>7430769.23076923</v>
      </c>
      <c r="AC11" s="42" t="n">
        <f aca="false">AA11+AB11</f>
        <v>10841826.9230769</v>
      </c>
    </row>
    <row r="12" customFormat="false" ht="15" hidden="false" customHeight="true" outlineLevel="0" collapsed="false">
      <c r="A12" s="5" t="s">
        <v>138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customFormat="false" ht="15" hidden="false" customHeight="true" outlineLevel="0" collapsed="false">
      <c r="A13" s="7" t="s">
        <v>51</v>
      </c>
      <c r="C13" s="9" t="n">
        <f aca="false">(C8+C10*Assumptions!$D$18)*Assumptions!$D$11*Assumptions!$D$12</f>
        <v>5307.69230769231</v>
      </c>
      <c r="D13" s="9" t="n">
        <f aca="false">(D8+D10*Assumptions!$D$18)*Assumptions!$D$11*Assumptions!$D$12</f>
        <v>6900</v>
      </c>
      <c r="E13" s="9" t="n">
        <f aca="false">(E8+E10*Assumptions!$D$18)*Assumptions!$D$11*Assumptions!$D$12</f>
        <v>8492.30769230769</v>
      </c>
      <c r="F13" s="9" t="n">
        <f aca="false">(F8+F10*Assumptions!$D$18)*Assumptions!$D$11*Assumptions!$D$12</f>
        <v>10084.6153846154</v>
      </c>
      <c r="G13" s="9" t="n">
        <f aca="false">(G8+G10*Assumptions!$D$18)*Assumptions!$D$11*Assumptions!$D$12</f>
        <v>11676.9230769231</v>
      </c>
      <c r="H13" s="9" t="n">
        <f aca="false">(H8+H10*Assumptions!$D$18)*Assumptions!$D$11*Assumptions!$D$12</f>
        <v>13269.2307692308</v>
      </c>
      <c r="I13" s="9" t="n">
        <f aca="false">(I8+I10*Assumptions!$D$18)*Assumptions!$D$11*Assumptions!$D$12</f>
        <v>14861.5384615385</v>
      </c>
      <c r="J13" s="9" t="n">
        <f aca="false">(J8+J10*Assumptions!$D$18)*Assumptions!$D$11*Assumptions!$D$12</f>
        <v>16453.8461538462</v>
      </c>
      <c r="K13" s="9" t="n">
        <f aca="false">(K8+K10*Assumptions!$D$18)*Assumptions!$D$11*Assumptions!$D$12</f>
        <v>18046.1538461538</v>
      </c>
      <c r="L13" s="9" t="n">
        <f aca="false">(L8+L10*Assumptions!$D$18)*Assumptions!$D$11*Assumptions!$D$12</f>
        <v>19638.4615384615</v>
      </c>
      <c r="M13" s="9" t="n">
        <f aca="false">(M8+M10*Assumptions!$D$18)*Assumptions!$D$11*Assumptions!$D$12</f>
        <v>21230.7692307692</v>
      </c>
      <c r="N13" s="9" t="n">
        <f aca="false">(N8+N10*Assumptions!$D$18)*Assumptions!$D$11*Assumptions!$D$12</f>
        <v>22823.0769230769</v>
      </c>
      <c r="O13" s="9" t="n">
        <f aca="false">(O8+O10*Assumptions!$D$18)*Assumptions!$D$11*Assumptions!$D$12</f>
        <v>24415.3846153846</v>
      </c>
      <c r="P13" s="9" t="n">
        <f aca="false">(P8+P10*Assumptions!$D$18)*Assumptions!$D$11*Assumptions!$D$12</f>
        <v>26007.6923076923</v>
      </c>
      <c r="Q13" s="9" t="n">
        <f aca="false">(Q8+Q10*Assumptions!$D$18)*Assumptions!$D$11*Assumptions!$D$12</f>
        <v>26538.4615384615</v>
      </c>
      <c r="R13" s="9" t="n">
        <f aca="false">(R8+R10*Assumptions!$D$18)*Assumptions!$D$11*Assumptions!$D$12</f>
        <v>26538.4615384615</v>
      </c>
      <c r="S13" s="9" t="n">
        <f aca="false">(S8+S10*Assumptions!$D$18)*Assumptions!$D$11*Assumptions!$D$12</f>
        <v>26538.4615384615</v>
      </c>
      <c r="T13" s="9" t="n">
        <f aca="false">(T8+T10*Assumptions!$D$18)*Assumptions!$D$11*Assumptions!$D$12</f>
        <v>26538.4615384615</v>
      </c>
      <c r="U13" s="9" t="n">
        <f aca="false">(U8+U10*Assumptions!$D$18)*Assumptions!$D$11*Assumptions!$D$12</f>
        <v>26538.4615384615</v>
      </c>
      <c r="V13" s="9" t="n">
        <f aca="false">(V8+V10*Assumptions!$D$18)*Assumptions!$D$11*Assumptions!$D$12</f>
        <v>26538.4615384615</v>
      </c>
      <c r="W13" s="9" t="n">
        <f aca="false">(W8+W10*Assumptions!$D$18)*Assumptions!$D$11*Assumptions!$D$12</f>
        <v>26538.4615384615</v>
      </c>
      <c r="X13" s="9" t="n">
        <f aca="false">(X8+X10*Assumptions!$D$18)*Assumptions!$D$11*Assumptions!$D$12</f>
        <v>26538.4615384615</v>
      </c>
      <c r="Y13" s="9" t="n">
        <f aca="false">(Y8+Y10*Assumptions!$D$18)*Assumptions!$D$11*Assumptions!$D$12</f>
        <v>26538.4615384615</v>
      </c>
      <c r="Z13" s="9" t="n">
        <f aca="false">(Z8+Z10*Assumptions!$D$18)*Assumptions!$D$11*Assumptions!$D$12</f>
        <v>26538.4615384615</v>
      </c>
      <c r="AA13" s="42" t="n">
        <f aca="false">SUM(C13:N13)</f>
        <v>168784.615384615</v>
      </c>
      <c r="AB13" s="42" t="n">
        <f aca="false">SUM(O13:Z13)</f>
        <v>315807.692307692</v>
      </c>
      <c r="AC13" s="42" t="n">
        <f aca="false">AA13+AB13</f>
        <v>484592.307692308</v>
      </c>
    </row>
    <row r="14" customFormat="false" ht="15" hidden="false" customHeight="true" outlineLevel="0" collapsed="false">
      <c r="A14" s="7" t="s">
        <v>53</v>
      </c>
      <c r="C14" s="9" t="n">
        <f aca="false">C11*Assumptions!$D$13*Assumptions!$D$14*(1-Assumptions!$D$15)</f>
        <v>3653.84615384615</v>
      </c>
      <c r="D14" s="9" t="n">
        <f aca="false">D11*Assumptions!$D$13*Assumptions!$D$14*(1-Assumptions!$D$15)</f>
        <v>4750</v>
      </c>
      <c r="E14" s="9" t="n">
        <f aca="false">E11*Assumptions!$D$13*Assumptions!$D$14*(1-Assumptions!$D$15)</f>
        <v>5846.15384615385</v>
      </c>
      <c r="F14" s="9" t="n">
        <f aca="false">F11*Assumptions!$D$13*Assumptions!$D$14*(1-Assumptions!$D$15)</f>
        <v>6942.30769230769</v>
      </c>
      <c r="G14" s="9" t="n">
        <f aca="false">G11*Assumptions!$D$13*Assumptions!$D$14*(1-Assumptions!$D$15)</f>
        <v>8038.46153846154</v>
      </c>
      <c r="H14" s="9" t="n">
        <f aca="false">H11*Assumptions!$D$13*Assumptions!$D$14*(1-Assumptions!$D$15)</f>
        <v>9134.61538461539</v>
      </c>
      <c r="I14" s="9" t="n">
        <f aca="false">I11*Assumptions!$D$13*Assumptions!$D$14*(1-Assumptions!$D$15)</f>
        <v>11509.6153846154</v>
      </c>
      <c r="J14" s="9" t="n">
        <f aca="false">J11*Assumptions!$D$13*Assumptions!$D$14*(1-Assumptions!$D$15)</f>
        <v>12989.4230769231</v>
      </c>
      <c r="K14" s="9" t="n">
        <f aca="false">K11*Assumptions!$D$13*Assumptions!$D$14*(1-Assumptions!$D$15)</f>
        <v>14469.2307692308</v>
      </c>
      <c r="L14" s="9" t="n">
        <f aca="false">L11*Assumptions!$D$13*Assumptions!$D$14*(1-Assumptions!$D$15)</f>
        <v>15949.0384615385</v>
      </c>
      <c r="M14" s="9" t="n">
        <f aca="false">M11*Assumptions!$D$13*Assumptions!$D$14*(1-Assumptions!$D$15)</f>
        <v>17428.8461538462</v>
      </c>
      <c r="N14" s="9" t="n">
        <f aca="false">N11*Assumptions!$D$13*Assumptions!$D$14*(1-Assumptions!$D$15)</f>
        <v>18908.6538461538</v>
      </c>
      <c r="O14" s="9" t="n">
        <f aca="false">O11*Assumptions!$D$13*Assumptions!$D$14*(1-Assumptions!$D$15)</f>
        <v>20388.4615384615</v>
      </c>
      <c r="P14" s="9" t="n">
        <f aca="false">P11*Assumptions!$D$13*Assumptions!$D$14*(1-Assumptions!$D$15)</f>
        <v>21868.2692307692</v>
      </c>
      <c r="Q14" s="9" t="n">
        <f aca="false">Q11*Assumptions!$D$13*Assumptions!$D$14*(1-Assumptions!$D$15)</f>
        <v>22617.3076923077</v>
      </c>
      <c r="R14" s="9" t="n">
        <f aca="false">R11*Assumptions!$D$13*Assumptions!$D$14*(1-Assumptions!$D$15)</f>
        <v>23000.9615384615</v>
      </c>
      <c r="S14" s="9" t="n">
        <f aca="false">S11*Assumptions!$D$13*Assumptions!$D$14*(1-Assumptions!$D$15)</f>
        <v>23384.6153846154</v>
      </c>
      <c r="T14" s="9" t="n">
        <f aca="false">T11*Assumptions!$D$13*Assumptions!$D$14*(1-Assumptions!$D$15)</f>
        <v>23768.2692307692</v>
      </c>
      <c r="U14" s="9" t="n">
        <f aca="false">U11*Assumptions!$D$13*Assumptions!$D$14*(1-Assumptions!$D$15)</f>
        <v>24151.9230769231</v>
      </c>
      <c r="V14" s="9" t="n">
        <f aca="false">V11*Assumptions!$D$13*Assumptions!$D$14*(1-Assumptions!$D$15)</f>
        <v>24535.5769230769</v>
      </c>
      <c r="W14" s="9" t="n">
        <f aca="false">W11*Assumptions!$D$13*Assumptions!$D$14*(1-Assumptions!$D$15)</f>
        <v>24663.4615384615</v>
      </c>
      <c r="X14" s="9" t="n">
        <f aca="false">X11*Assumptions!$D$13*Assumptions!$D$14*(1-Assumptions!$D$15)</f>
        <v>24663.4615384615</v>
      </c>
      <c r="Y14" s="9" t="n">
        <f aca="false">Y11*Assumptions!$D$13*Assumptions!$D$14*(1-Assumptions!$D$15)</f>
        <v>24663.4615384615</v>
      </c>
      <c r="Z14" s="9" t="n">
        <f aca="false">Z11*Assumptions!$D$13*Assumptions!$D$14*(1-Assumptions!$D$15)</f>
        <v>24663.4615384615</v>
      </c>
      <c r="AA14" s="42" t="n">
        <f aca="false">SUM(C14:N14)</f>
        <v>129620.192307692</v>
      </c>
      <c r="AB14" s="42" t="n">
        <f aca="false">SUM(O14:Z14)</f>
        <v>282369.230769231</v>
      </c>
      <c r="AC14" s="42" t="n">
        <f aca="false">AA14+AB14</f>
        <v>411989.423076923</v>
      </c>
    </row>
    <row r="15" customFormat="false" ht="15" hidden="false" customHeight="true" outlineLevel="0" collapsed="false">
      <c r="A15" s="10" t="s">
        <v>11</v>
      </c>
      <c r="C15" s="45" t="n">
        <f aca="false">C13+C14</f>
        <v>8961.53846153846</v>
      </c>
      <c r="D15" s="45" t="n">
        <f aca="false">D13+D14</f>
        <v>11650</v>
      </c>
      <c r="E15" s="45" t="n">
        <f aca="false">E13+E14</f>
        <v>14338.4615384615</v>
      </c>
      <c r="F15" s="45" t="n">
        <f aca="false">F13+F14</f>
        <v>17026.9230769231</v>
      </c>
      <c r="G15" s="45" t="n">
        <f aca="false">G13+G14</f>
        <v>19715.3846153846</v>
      </c>
      <c r="H15" s="45" t="n">
        <f aca="false">H13+H14</f>
        <v>22403.8461538462</v>
      </c>
      <c r="I15" s="45" t="n">
        <f aca="false">I13+I14</f>
        <v>26371.1538461538</v>
      </c>
      <c r="J15" s="45" t="n">
        <f aca="false">J13+J14</f>
        <v>29443.2692307692</v>
      </c>
      <c r="K15" s="45" t="n">
        <f aca="false">K13+K14</f>
        <v>32515.3846153846</v>
      </c>
      <c r="L15" s="45" t="n">
        <f aca="false">L13+L14</f>
        <v>35587.5</v>
      </c>
      <c r="M15" s="45" t="n">
        <f aca="false">M13+M14</f>
        <v>38659.6153846154</v>
      </c>
      <c r="N15" s="45" t="n">
        <f aca="false">N13+N14</f>
        <v>41731.7307692308</v>
      </c>
      <c r="O15" s="45" t="n">
        <f aca="false">O13+O14</f>
        <v>44803.8461538462</v>
      </c>
      <c r="P15" s="45" t="n">
        <f aca="false">P13+P14</f>
        <v>47875.9615384615</v>
      </c>
      <c r="Q15" s="45" t="n">
        <f aca="false">Q13+Q14</f>
        <v>49155.7692307692</v>
      </c>
      <c r="R15" s="45" t="n">
        <f aca="false">R13+R14</f>
        <v>49539.4230769231</v>
      </c>
      <c r="S15" s="45" t="n">
        <f aca="false">S13+S14</f>
        <v>49923.0769230769</v>
      </c>
      <c r="T15" s="45" t="n">
        <f aca="false">T13+T14</f>
        <v>50306.7307692308</v>
      </c>
      <c r="U15" s="45" t="n">
        <f aca="false">U13+U14</f>
        <v>50690.3846153846</v>
      </c>
      <c r="V15" s="45" t="n">
        <f aca="false">V13+V14</f>
        <v>51074.0384615385</v>
      </c>
      <c r="W15" s="45" t="n">
        <f aca="false">W13+W14</f>
        <v>51201.9230769231</v>
      </c>
      <c r="X15" s="45" t="n">
        <f aca="false">X13+X14</f>
        <v>51201.9230769231</v>
      </c>
      <c r="Y15" s="45" t="n">
        <f aca="false">Y13+Y14</f>
        <v>51201.9230769231</v>
      </c>
      <c r="Z15" s="45" t="n">
        <f aca="false">Z13+Z14</f>
        <v>51201.9230769231</v>
      </c>
      <c r="AA15" s="42" t="n">
        <f aca="false">SUM(C15:N15)</f>
        <v>298404.807692308</v>
      </c>
      <c r="AB15" s="42" t="n">
        <f aca="false">SUM(O15:Z15)</f>
        <v>598176.923076923</v>
      </c>
      <c r="AC15" s="42" t="n">
        <f aca="false">AA15+AB15</f>
        <v>896581.730769231</v>
      </c>
    </row>
    <row r="16" customFormat="false" ht="15" hidden="false" customHeight="true" outlineLevel="0" collapsed="false">
      <c r="A16" s="5" t="s">
        <v>139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customFormat="false" ht="15" hidden="false" customHeight="true" outlineLevel="0" collapsed="false">
      <c r="A17" s="7" t="s">
        <v>12</v>
      </c>
      <c r="C17" s="46" t="n">
        <f aca="false">C5</f>
        <v>5000</v>
      </c>
      <c r="D17" s="46" t="n">
        <f aca="false">D5</f>
        <v>6500</v>
      </c>
      <c r="E17" s="46" t="n">
        <f aca="false">E5</f>
        <v>8000</v>
      </c>
      <c r="F17" s="46" t="n">
        <f aca="false">F5</f>
        <v>9500</v>
      </c>
      <c r="G17" s="46" t="n">
        <f aca="false">G5</f>
        <v>11000</v>
      </c>
      <c r="H17" s="46" t="n">
        <f aca="false">H5</f>
        <v>12500</v>
      </c>
      <c r="I17" s="46" t="n">
        <f aca="false">I5</f>
        <v>14000</v>
      </c>
      <c r="J17" s="46" t="n">
        <f aca="false">J5</f>
        <v>15500</v>
      </c>
      <c r="K17" s="46" t="n">
        <f aca="false">K5</f>
        <v>17000</v>
      </c>
      <c r="L17" s="46" t="n">
        <f aca="false">L5</f>
        <v>18500</v>
      </c>
      <c r="M17" s="46" t="n">
        <f aca="false">M5</f>
        <v>20000</v>
      </c>
      <c r="N17" s="46" t="n">
        <f aca="false">N5</f>
        <v>21500</v>
      </c>
      <c r="O17" s="46" t="n">
        <f aca="false">O5</f>
        <v>23000</v>
      </c>
      <c r="P17" s="46" t="n">
        <f aca="false">P5</f>
        <v>24500</v>
      </c>
      <c r="Q17" s="46" t="n">
        <f aca="false">Q5</f>
        <v>25000</v>
      </c>
      <c r="R17" s="46" t="n">
        <f aca="false">R5</f>
        <v>25000</v>
      </c>
      <c r="S17" s="46" t="n">
        <f aca="false">S5</f>
        <v>25000</v>
      </c>
      <c r="T17" s="46" t="n">
        <f aca="false">T5</f>
        <v>25000</v>
      </c>
      <c r="U17" s="46" t="n">
        <f aca="false">U5</f>
        <v>25000</v>
      </c>
      <c r="V17" s="46" t="n">
        <f aca="false">V5</f>
        <v>25000</v>
      </c>
      <c r="W17" s="46" t="n">
        <f aca="false">W5</f>
        <v>25000</v>
      </c>
      <c r="X17" s="46" t="n">
        <f aca="false">X5</f>
        <v>25000</v>
      </c>
      <c r="Y17" s="46" t="n">
        <f aca="false">Y5</f>
        <v>25000</v>
      </c>
      <c r="Z17" s="46" t="n">
        <f aca="false">Z5</f>
        <v>25000</v>
      </c>
      <c r="AA17" s="42" t="n">
        <f aca="false">SUM(C17:N17)</f>
        <v>159000</v>
      </c>
      <c r="AB17" s="42" t="n">
        <f aca="false">SUM(O17:Z17)</f>
        <v>297500</v>
      </c>
      <c r="AC17" s="42" t="n">
        <f aca="false">AA17+AB17</f>
        <v>456500</v>
      </c>
    </row>
    <row r="18" customFormat="false" ht="15" hidden="false" customHeight="true" outlineLevel="0" collapsed="false">
      <c r="A18" s="7" t="s">
        <v>56</v>
      </c>
      <c r="C18" s="9" t="n">
        <f aca="false">Assumptions!$D$19</f>
        <v>1500</v>
      </c>
      <c r="D18" s="9" t="n">
        <f aca="false">Assumptions!$D$19</f>
        <v>1500</v>
      </c>
      <c r="E18" s="9" t="n">
        <f aca="false">Assumptions!$D$19</f>
        <v>1500</v>
      </c>
      <c r="F18" s="9" t="n">
        <f aca="false">Assumptions!$D$19</f>
        <v>1500</v>
      </c>
      <c r="G18" s="9" t="n">
        <f aca="false">Assumptions!$D$19</f>
        <v>1500</v>
      </c>
      <c r="H18" s="9" t="n">
        <f aca="false">Assumptions!$D$19</f>
        <v>1500</v>
      </c>
      <c r="I18" s="9" t="n">
        <f aca="false">Assumptions!$D$19</f>
        <v>1500</v>
      </c>
      <c r="J18" s="9" t="n">
        <f aca="false">Assumptions!$D$19</f>
        <v>1500</v>
      </c>
      <c r="K18" s="9" t="n">
        <f aca="false">Assumptions!$D$19</f>
        <v>1500</v>
      </c>
      <c r="L18" s="9" t="n">
        <f aca="false">Assumptions!$D$19</f>
        <v>1500</v>
      </c>
      <c r="M18" s="9" t="n">
        <f aca="false">Assumptions!$D$19</f>
        <v>1500</v>
      </c>
      <c r="N18" s="9" t="n">
        <f aca="false">Assumptions!$D$19</f>
        <v>1500</v>
      </c>
      <c r="O18" s="9" t="n">
        <f aca="false">Assumptions!$D$19</f>
        <v>1500</v>
      </c>
      <c r="P18" s="9" t="n">
        <f aca="false">Assumptions!$D$19</f>
        <v>1500</v>
      </c>
      <c r="Q18" s="9" t="n">
        <f aca="false">Assumptions!$D$19</f>
        <v>1500</v>
      </c>
      <c r="R18" s="9" t="n">
        <f aca="false">Assumptions!$D$19</f>
        <v>1500</v>
      </c>
      <c r="S18" s="9" t="n">
        <f aca="false">Assumptions!$D$19</f>
        <v>1500</v>
      </c>
      <c r="T18" s="9" t="n">
        <f aca="false">Assumptions!$D$19</f>
        <v>1500</v>
      </c>
      <c r="U18" s="9" t="n">
        <f aca="false">Assumptions!$D$19</f>
        <v>1500</v>
      </c>
      <c r="V18" s="9" t="n">
        <f aca="false">Assumptions!$D$19</f>
        <v>1500</v>
      </c>
      <c r="W18" s="9" t="n">
        <f aca="false">Assumptions!$D$19</f>
        <v>1500</v>
      </c>
      <c r="X18" s="9" t="n">
        <f aca="false">Assumptions!$D$19</f>
        <v>1500</v>
      </c>
      <c r="Y18" s="9" t="n">
        <f aca="false">Assumptions!$D$19</f>
        <v>1500</v>
      </c>
      <c r="Z18" s="9" t="n">
        <f aca="false">Assumptions!$D$19</f>
        <v>1500</v>
      </c>
      <c r="AA18" s="42" t="n">
        <f aca="false">SUM(C18:N18)</f>
        <v>18000</v>
      </c>
      <c r="AB18" s="42" t="n">
        <f aca="false">SUM(O18:Z18)</f>
        <v>18000</v>
      </c>
      <c r="AC18" s="42" t="n">
        <f aca="false">AA18+AB18</f>
        <v>36000</v>
      </c>
    </row>
    <row r="19" customFormat="false" ht="15" hidden="false" customHeight="true" outlineLevel="0" collapsed="false">
      <c r="A19" s="7" t="s">
        <v>55</v>
      </c>
      <c r="C19" s="9" t="n">
        <f aca="false">(C7+C9)*Assumptions!$D$20</f>
        <v>173.076923076923</v>
      </c>
      <c r="D19" s="9" t="n">
        <f aca="false">(D7+D9)*Assumptions!$D$20</f>
        <v>225</v>
      </c>
      <c r="E19" s="9" t="n">
        <f aca="false">(E7+E9)*Assumptions!$D$20</f>
        <v>276.923076923077</v>
      </c>
      <c r="F19" s="9" t="n">
        <f aca="false">(F7+F9)*Assumptions!$D$20</f>
        <v>328.846153846154</v>
      </c>
      <c r="G19" s="9" t="n">
        <f aca="false">(G7+G9)*Assumptions!$D$20</f>
        <v>380.769230769231</v>
      </c>
      <c r="H19" s="9" t="n">
        <f aca="false">(H7+H9)*Assumptions!$D$20</f>
        <v>432.692307692308</v>
      </c>
      <c r="I19" s="9" t="n">
        <f aca="false">(I7+I9)*Assumptions!$D$20</f>
        <v>545.192307692308</v>
      </c>
      <c r="J19" s="9" t="n">
        <f aca="false">(J7+J9)*Assumptions!$D$20</f>
        <v>615.288461538462</v>
      </c>
      <c r="K19" s="9" t="n">
        <f aca="false">(K7+K9)*Assumptions!$D$20</f>
        <v>685.384615384616</v>
      </c>
      <c r="L19" s="9" t="n">
        <f aca="false">(L7+L9)*Assumptions!$D$20</f>
        <v>755.480769230769</v>
      </c>
      <c r="M19" s="9" t="n">
        <f aca="false">(M7+M9)*Assumptions!$D$20</f>
        <v>825.576923076923</v>
      </c>
      <c r="N19" s="9" t="n">
        <f aca="false">(N7+N9)*Assumptions!$D$20</f>
        <v>895.673076923077</v>
      </c>
      <c r="O19" s="9" t="n">
        <f aca="false">(O7+O9)*Assumptions!$D$20</f>
        <v>965.769230769231</v>
      </c>
      <c r="P19" s="9" t="n">
        <f aca="false">(P7+P9)*Assumptions!$D$20</f>
        <v>1035.86538461538</v>
      </c>
      <c r="Q19" s="9" t="n">
        <f aca="false">(Q7+Q9)*Assumptions!$D$20</f>
        <v>1071.34615384615</v>
      </c>
      <c r="R19" s="9" t="n">
        <f aca="false">(R7+R9)*Assumptions!$D$20</f>
        <v>1089.51923076923</v>
      </c>
      <c r="S19" s="9" t="n">
        <f aca="false">(S7+S9)*Assumptions!$D$20</f>
        <v>1107.69230769231</v>
      </c>
      <c r="T19" s="9" t="n">
        <f aca="false">(T7+T9)*Assumptions!$D$20</f>
        <v>1125.86538461538</v>
      </c>
      <c r="U19" s="9" t="n">
        <f aca="false">(U7+U9)*Assumptions!$D$20</f>
        <v>1144.03846153846</v>
      </c>
      <c r="V19" s="9" t="n">
        <f aca="false">(V7+V9)*Assumptions!$D$20</f>
        <v>1162.21153846154</v>
      </c>
      <c r="W19" s="9" t="n">
        <f aca="false">(W7+W9)*Assumptions!$D$20</f>
        <v>1168.26923076923</v>
      </c>
      <c r="X19" s="9" t="n">
        <f aca="false">(X7+X9)*Assumptions!$D$20</f>
        <v>1168.26923076923</v>
      </c>
      <c r="Y19" s="9" t="n">
        <f aca="false">(Y7+Y9)*Assumptions!$D$20</f>
        <v>1168.26923076923</v>
      </c>
      <c r="Z19" s="9" t="n">
        <f aca="false">(Z7+Z9)*Assumptions!$D$20</f>
        <v>1168.26923076923</v>
      </c>
      <c r="AA19" s="42" t="n">
        <f aca="false">SUM(C19:N19)</f>
        <v>6139.90384615385</v>
      </c>
      <c r="AB19" s="42" t="n">
        <f aca="false">SUM(O19:Z19)</f>
        <v>13375.3846153846</v>
      </c>
      <c r="AC19" s="42" t="n">
        <f aca="false">AA19+AB19</f>
        <v>19515.2884615385</v>
      </c>
    </row>
    <row r="20" customFormat="false" ht="15" hidden="false" customHeight="true" outlineLevel="0" collapsed="false">
      <c r="A20" s="10" t="s">
        <v>140</v>
      </c>
      <c r="C20" s="45" t="n">
        <f aca="false">SUM(C17:C19)</f>
        <v>6673.07692307692</v>
      </c>
      <c r="D20" s="45" t="n">
        <f aca="false">SUM(D17:D19)</f>
        <v>8225</v>
      </c>
      <c r="E20" s="45" t="n">
        <f aca="false">SUM(E17:E19)</f>
        <v>9776.92307692308</v>
      </c>
      <c r="F20" s="45" t="n">
        <f aca="false">SUM(F17:F19)</f>
        <v>11328.8461538462</v>
      </c>
      <c r="G20" s="45" t="n">
        <f aca="false">SUM(G17:G19)</f>
        <v>12880.7692307692</v>
      </c>
      <c r="H20" s="45" t="n">
        <f aca="false">SUM(H17:H19)</f>
        <v>14432.6923076923</v>
      </c>
      <c r="I20" s="45" t="n">
        <f aca="false">SUM(I17:I19)</f>
        <v>16045.1923076923</v>
      </c>
      <c r="J20" s="45" t="n">
        <f aca="false">SUM(J17:J19)</f>
        <v>17615.2884615385</v>
      </c>
      <c r="K20" s="45" t="n">
        <f aca="false">SUM(K17:K19)</f>
        <v>19185.3846153846</v>
      </c>
      <c r="L20" s="45" t="n">
        <f aca="false">SUM(L17:L19)</f>
        <v>20755.4807692308</v>
      </c>
      <c r="M20" s="45" t="n">
        <f aca="false">SUM(M17:M19)</f>
        <v>22325.5769230769</v>
      </c>
      <c r="N20" s="45" t="n">
        <f aca="false">SUM(N17:N19)</f>
        <v>23895.6730769231</v>
      </c>
      <c r="O20" s="45" t="n">
        <f aca="false">SUM(O17:O19)</f>
        <v>25465.7692307692</v>
      </c>
      <c r="P20" s="45" t="n">
        <f aca="false">SUM(P17:P19)</f>
        <v>27035.8653846154</v>
      </c>
      <c r="Q20" s="45" t="n">
        <f aca="false">SUM(Q17:Q19)</f>
        <v>27571.3461538462</v>
      </c>
      <c r="R20" s="45" t="n">
        <f aca="false">SUM(R17:R19)</f>
        <v>27589.5192307692</v>
      </c>
      <c r="S20" s="45" t="n">
        <f aca="false">SUM(S17:S19)</f>
        <v>27607.6923076923</v>
      </c>
      <c r="T20" s="45" t="n">
        <f aca="false">SUM(T17:T19)</f>
        <v>27625.8653846154</v>
      </c>
      <c r="U20" s="45" t="n">
        <f aca="false">SUM(U17:U19)</f>
        <v>27644.0384615385</v>
      </c>
      <c r="V20" s="45" t="n">
        <f aca="false">SUM(V17:V19)</f>
        <v>27662.2115384615</v>
      </c>
      <c r="W20" s="45" t="n">
        <f aca="false">SUM(W17:W19)</f>
        <v>27668.2692307692</v>
      </c>
      <c r="X20" s="45" t="n">
        <f aca="false">SUM(X17:X19)</f>
        <v>27668.2692307692</v>
      </c>
      <c r="Y20" s="45" t="n">
        <f aca="false">SUM(Y17:Y19)</f>
        <v>27668.2692307692</v>
      </c>
      <c r="Z20" s="45" t="n">
        <f aca="false">SUM(Z17:Z19)</f>
        <v>27668.2692307692</v>
      </c>
      <c r="AA20" s="42" t="n">
        <f aca="false">SUM(C20:N20)</f>
        <v>183139.903846154</v>
      </c>
      <c r="AB20" s="42" t="n">
        <f aca="false">SUM(O20:Z20)</f>
        <v>328875.384615385</v>
      </c>
      <c r="AC20" s="42" t="n">
        <f aca="false">AA20+AB20</f>
        <v>512015.288461539</v>
      </c>
    </row>
    <row r="21" customFormat="false" ht="15" hidden="false" customHeight="true" outlineLevel="0" collapsed="false">
      <c r="A21" s="10" t="s">
        <v>13</v>
      </c>
      <c r="C21" s="45" t="n">
        <f aca="false">C15-C20</f>
        <v>2288.46153846154</v>
      </c>
      <c r="D21" s="45" t="n">
        <f aca="false">D15-D20</f>
        <v>3425</v>
      </c>
      <c r="E21" s="45" t="n">
        <f aca="false">E15-E20</f>
        <v>4561.53846153846</v>
      </c>
      <c r="F21" s="45" t="n">
        <f aca="false">F15-F20</f>
        <v>5698.07692307692</v>
      </c>
      <c r="G21" s="45" t="n">
        <f aca="false">G15-G20</f>
        <v>6834.61538461538</v>
      </c>
      <c r="H21" s="45" t="n">
        <f aca="false">H15-H20</f>
        <v>7971.15384615385</v>
      </c>
      <c r="I21" s="45" t="n">
        <f aca="false">I15-I20</f>
        <v>10325.9615384615</v>
      </c>
      <c r="J21" s="45" t="n">
        <f aca="false">J15-J20</f>
        <v>11827.9807692308</v>
      </c>
      <c r="K21" s="45" t="n">
        <f aca="false">K15-K20</f>
        <v>13330</v>
      </c>
      <c r="L21" s="45" t="n">
        <f aca="false">L15-L20</f>
        <v>14832.0192307692</v>
      </c>
      <c r="M21" s="45" t="n">
        <f aca="false">M15-M20</f>
        <v>16334.0384615385</v>
      </c>
      <c r="N21" s="45" t="n">
        <f aca="false">N15-N20</f>
        <v>17836.0576923077</v>
      </c>
      <c r="O21" s="45" t="n">
        <f aca="false">O15-O20</f>
        <v>19338.0769230769</v>
      </c>
      <c r="P21" s="45" t="n">
        <f aca="false">P15-P20</f>
        <v>20840.0961538462</v>
      </c>
      <c r="Q21" s="45" t="n">
        <f aca="false">Q15-Q20</f>
        <v>21584.4230769231</v>
      </c>
      <c r="R21" s="45" t="n">
        <f aca="false">R15-R20</f>
        <v>21949.9038461538</v>
      </c>
      <c r="S21" s="45" t="n">
        <f aca="false">S15-S20</f>
        <v>22315.3846153846</v>
      </c>
      <c r="T21" s="45" t="n">
        <f aca="false">T15-T20</f>
        <v>22680.8653846154</v>
      </c>
      <c r="U21" s="45" t="n">
        <f aca="false">U15-U20</f>
        <v>23046.3461538462</v>
      </c>
      <c r="V21" s="45" t="n">
        <f aca="false">V15-V20</f>
        <v>23411.8269230769</v>
      </c>
      <c r="W21" s="45" t="n">
        <f aca="false">W15-W20</f>
        <v>23533.6538461538</v>
      </c>
      <c r="X21" s="45" t="n">
        <f aca="false">X15-X20</f>
        <v>23533.6538461538</v>
      </c>
      <c r="Y21" s="45" t="n">
        <f aca="false">Y15-Y20</f>
        <v>23533.6538461538</v>
      </c>
      <c r="Z21" s="45" t="n">
        <f aca="false">Z15-Z20</f>
        <v>23533.6538461538</v>
      </c>
      <c r="AA21" s="42" t="n">
        <f aca="false">SUM(C21:N21)</f>
        <v>115264.903846154</v>
      </c>
      <c r="AB21" s="42" t="n">
        <f aca="false">SUM(O21:Z21)</f>
        <v>269301.538461539</v>
      </c>
      <c r="AC21" s="42" t="n">
        <f aca="false">AA21+AB21</f>
        <v>384566.442307692</v>
      </c>
    </row>
    <row r="22" customFormat="false" ht="15" hidden="false" customHeight="true" outlineLevel="0" collapsed="false">
      <c r="A22" s="7" t="s">
        <v>141</v>
      </c>
      <c r="C22" s="46" t="n">
        <f aca="false">C21</f>
        <v>2288.46153846154</v>
      </c>
      <c r="D22" s="46" t="n">
        <f aca="false">C22+D21</f>
        <v>5713.46153846154</v>
      </c>
      <c r="E22" s="46" t="n">
        <f aca="false">D22+E21</f>
        <v>10275</v>
      </c>
      <c r="F22" s="46" t="n">
        <f aca="false">E22+F21</f>
        <v>15973.0769230769</v>
      </c>
      <c r="G22" s="46" t="n">
        <f aca="false">F22+G21</f>
        <v>22807.6923076923</v>
      </c>
      <c r="H22" s="46" t="n">
        <f aca="false">G22+H21</f>
        <v>30778.8461538462</v>
      </c>
      <c r="I22" s="46" t="n">
        <f aca="false">H22+I21</f>
        <v>41104.8076923077</v>
      </c>
      <c r="J22" s="46" t="n">
        <f aca="false">I22+J21</f>
        <v>52932.7884615385</v>
      </c>
      <c r="K22" s="46" t="n">
        <f aca="false">J22+K21</f>
        <v>66262.7884615385</v>
      </c>
      <c r="L22" s="46" t="n">
        <f aca="false">K22+L21</f>
        <v>81094.8076923077</v>
      </c>
      <c r="M22" s="46" t="n">
        <f aca="false">L22+M21</f>
        <v>97428.8461538462</v>
      </c>
      <c r="N22" s="46" t="n">
        <f aca="false">M22+N21</f>
        <v>115264.903846154</v>
      </c>
      <c r="O22" s="46" t="n">
        <f aca="false">N22+O21</f>
        <v>134602.980769231</v>
      </c>
      <c r="P22" s="46" t="n">
        <f aca="false">O22+P21</f>
        <v>155443.076923077</v>
      </c>
      <c r="Q22" s="46" t="n">
        <f aca="false">P22+Q21</f>
        <v>177027.5</v>
      </c>
      <c r="R22" s="46" t="n">
        <f aca="false">Q22+R21</f>
        <v>198977.403846154</v>
      </c>
      <c r="S22" s="46" t="n">
        <f aca="false">R22+S21</f>
        <v>221292.788461539</v>
      </c>
      <c r="T22" s="46" t="n">
        <f aca="false">S22+T21</f>
        <v>243973.653846154</v>
      </c>
      <c r="U22" s="46" t="n">
        <f aca="false">T22+U21</f>
        <v>267020</v>
      </c>
      <c r="V22" s="46" t="n">
        <f aca="false">U22+V21</f>
        <v>290431.826923077</v>
      </c>
      <c r="W22" s="46" t="n">
        <f aca="false">V22+W21</f>
        <v>313965.480769231</v>
      </c>
      <c r="X22" s="46" t="n">
        <f aca="false">W22+X21</f>
        <v>337499.134615385</v>
      </c>
      <c r="Y22" s="46" t="n">
        <f aca="false">X22+Y21</f>
        <v>361032.788461539</v>
      </c>
      <c r="Z22" s="46" t="n">
        <f aca="false">Y22+Z21</f>
        <v>384566.442307693</v>
      </c>
      <c r="AA22" s="42" t="n">
        <f aca="false">N22</f>
        <v>115264.903846154</v>
      </c>
      <c r="AB22" s="42" t="n">
        <f aca="false">Z22</f>
        <v>384566.442307693</v>
      </c>
      <c r="AC22" s="42" t="n">
        <f aca="false">Z22</f>
        <v>384566.442307693</v>
      </c>
    </row>
    <row r="23" customFormat="false" ht="15" hidden="false" customHeight="true" outlineLevel="0" collapsed="false">
      <c r="A23" s="5" t="s">
        <v>142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customFormat="false" ht="15" hidden="false" customHeight="true" outlineLevel="0" collapsed="false">
      <c r="A24" s="7" t="s">
        <v>143</v>
      </c>
      <c r="C24" s="46" t="n">
        <f aca="false">IFERROR(C5/C7,0)</f>
        <v>2600</v>
      </c>
      <c r="D24" s="46" t="n">
        <f aca="false">IFERROR(D5/D7,0)</f>
        <v>2600</v>
      </c>
      <c r="E24" s="46" t="n">
        <f aca="false">IFERROR(E5/E7,0)</f>
        <v>2600</v>
      </c>
      <c r="F24" s="46" t="n">
        <f aca="false">IFERROR(F5/F7,0)</f>
        <v>2600</v>
      </c>
      <c r="G24" s="46" t="n">
        <f aca="false">IFERROR(G5/G7,0)</f>
        <v>2600</v>
      </c>
      <c r="H24" s="46" t="n">
        <f aca="false">IFERROR(H5/H7,0)</f>
        <v>2600</v>
      </c>
      <c r="I24" s="46" t="n">
        <f aca="false">IFERROR(I5/I7,0)</f>
        <v>2600</v>
      </c>
      <c r="J24" s="46" t="n">
        <f aca="false">IFERROR(J5/J7,0)</f>
        <v>2600</v>
      </c>
      <c r="K24" s="46" t="n">
        <f aca="false">IFERROR(K5/K7,0)</f>
        <v>2600</v>
      </c>
      <c r="L24" s="46" t="n">
        <f aca="false">IFERROR(L5/L7,0)</f>
        <v>2600</v>
      </c>
      <c r="M24" s="46" t="n">
        <f aca="false">IFERROR(M5/M7,0)</f>
        <v>2600</v>
      </c>
      <c r="N24" s="46" t="n">
        <f aca="false">IFERROR(N5/N7,0)</f>
        <v>2600</v>
      </c>
      <c r="O24" s="46" t="n">
        <f aca="false">IFERROR(O5/O7,0)</f>
        <v>2600</v>
      </c>
      <c r="P24" s="46" t="n">
        <f aca="false">IFERROR(P5/P7,0)</f>
        <v>2600</v>
      </c>
      <c r="Q24" s="46" t="n">
        <f aca="false">IFERROR(Q5/Q7,0)</f>
        <v>2600</v>
      </c>
      <c r="R24" s="46" t="n">
        <f aca="false">IFERROR(R5/R7,0)</f>
        <v>2600</v>
      </c>
      <c r="S24" s="46" t="n">
        <f aca="false">IFERROR(S5/S7,0)</f>
        <v>2600</v>
      </c>
      <c r="T24" s="46" t="n">
        <f aca="false">IFERROR(T5/T7,0)</f>
        <v>2600</v>
      </c>
      <c r="U24" s="46" t="n">
        <f aca="false">IFERROR(U5/U7,0)</f>
        <v>2600</v>
      </c>
      <c r="V24" s="46" t="n">
        <f aca="false">IFERROR(V5/V7,0)</f>
        <v>2600</v>
      </c>
      <c r="W24" s="46" t="n">
        <f aca="false">IFERROR(W5/W7,0)</f>
        <v>2600</v>
      </c>
      <c r="X24" s="46" t="n">
        <f aca="false">IFERROR(X5/X7,0)</f>
        <v>2600</v>
      </c>
      <c r="Y24" s="46" t="n">
        <f aca="false">IFERROR(Y5/Y7,0)</f>
        <v>2600</v>
      </c>
      <c r="Z24" s="46" t="n">
        <f aca="false">IFERROR(Z5/Z7,0)</f>
        <v>2600</v>
      </c>
      <c r="AA24" s="42" t="n">
        <f aca="false">IFERROR(AA5/AA7,0)</f>
        <v>2600</v>
      </c>
      <c r="AB24" s="42" t="n">
        <f aca="false">IFERROR(AB5/AB7,0)</f>
        <v>2600</v>
      </c>
      <c r="AC24" s="42" t="n">
        <f aca="false">IFERROR(AC5/AC7,0)</f>
        <v>2600</v>
      </c>
    </row>
    <row r="25" customFormat="false" ht="15" hidden="false" customHeight="true" outlineLevel="0" collapsed="false">
      <c r="A25" s="7" t="s">
        <v>144</v>
      </c>
      <c r="C25" s="46" t="n">
        <f aca="false">IFERROR(C15/(C7+C9),0)</f>
        <v>4660</v>
      </c>
      <c r="D25" s="46" t="n">
        <f aca="false">IFERROR(D15/(D7+D9),0)</f>
        <v>4660</v>
      </c>
      <c r="E25" s="46" t="n">
        <f aca="false">IFERROR(E15/(E7+E9),0)</f>
        <v>4660</v>
      </c>
      <c r="F25" s="46" t="n">
        <f aca="false">IFERROR(F15/(F7+F9),0)</f>
        <v>4660</v>
      </c>
      <c r="G25" s="46" t="n">
        <f aca="false">IFERROR(G15/(G7+G9),0)</f>
        <v>4660</v>
      </c>
      <c r="H25" s="46" t="n">
        <f aca="false">IFERROR(H15/(H7+H9),0)</f>
        <v>4660</v>
      </c>
      <c r="I25" s="46" t="n">
        <f aca="false">IFERROR(I15/(I7+I9),0)</f>
        <v>4353.33333333333</v>
      </c>
      <c r="J25" s="46" t="n">
        <f aca="false">IFERROR(J15/(J7+J9),0)</f>
        <v>4306.75105485232</v>
      </c>
      <c r="K25" s="46" t="n">
        <f aca="false">IFERROR(K15/(K7+K9),0)</f>
        <v>4269.69696969697</v>
      </c>
      <c r="L25" s="46" t="n">
        <f aca="false">IFERROR(L15/(L7+L9),0)</f>
        <v>4239.51890034364</v>
      </c>
      <c r="M25" s="46" t="n">
        <f aca="false">IFERROR(M15/(M7+M9),0)</f>
        <v>4214.46540880503</v>
      </c>
      <c r="N25" s="46" t="n">
        <f aca="false">IFERROR(N15/(N7+N9),0)</f>
        <v>4193.33333333333</v>
      </c>
      <c r="O25" s="46" t="n">
        <f aca="false">IFERROR(O15/(O7+O9),0)</f>
        <v>4175.2688172043</v>
      </c>
      <c r="P25" s="46" t="n">
        <f aca="false">IFERROR(P15/(P7+P9),0)</f>
        <v>4159.64912280702</v>
      </c>
      <c r="Q25" s="46" t="n">
        <f aca="false">IFERROR(Q15/(Q7+Q9),0)</f>
        <v>4129.40226171244</v>
      </c>
      <c r="R25" s="46" t="n">
        <f aca="false">IFERROR(R15/(R7+R9),0)</f>
        <v>4092.21604447975</v>
      </c>
      <c r="S25" s="46" t="n">
        <f aca="false">IFERROR(S15/(S7+S9),0)</f>
        <v>4056.25</v>
      </c>
      <c r="T25" s="46" t="n">
        <f aca="false">IFERROR(T15/(T7+T9),0)</f>
        <v>4021.44504227517</v>
      </c>
      <c r="U25" s="46" t="n">
        <f aca="false">IFERROR(U15/(U7+U9),0)</f>
        <v>3987.74583963691</v>
      </c>
      <c r="V25" s="46" t="n">
        <f aca="false">IFERROR(V15/(V7+V9),0)</f>
        <v>3955.10052122115</v>
      </c>
      <c r="W25" s="46" t="n">
        <f aca="false">IFERROR(W15/(W7+W9),0)</f>
        <v>3944.44444444444</v>
      </c>
      <c r="X25" s="46" t="n">
        <f aca="false">IFERROR(X15/(X7+X9),0)</f>
        <v>3944.44444444444</v>
      </c>
      <c r="Y25" s="46" t="n">
        <f aca="false">IFERROR(Y15/(Y7+Y9),0)</f>
        <v>3944.44444444444</v>
      </c>
      <c r="Z25" s="46" t="n">
        <f aca="false">IFERROR(Z15/(Z7+Z9),0)</f>
        <v>3944.44444444444</v>
      </c>
      <c r="AA25" s="42" t="n">
        <f aca="false">IFERROR(AA15/(AA7+AA9),0)</f>
        <v>4374.08033826638</v>
      </c>
      <c r="AB25" s="42" t="n">
        <f aca="false">IFERROR(AB15/(AB7+AB9),0)</f>
        <v>4025</v>
      </c>
      <c r="AC25" s="42" t="n">
        <f aca="false">IFERROR(AC15/(AC7+AC9),0)</f>
        <v>4134.82772382599</v>
      </c>
    </row>
    <row r="26" customFormat="false" ht="15" hidden="false" customHeight="true" outlineLevel="0" collapsed="false">
      <c r="A26" s="7" t="s">
        <v>18</v>
      </c>
      <c r="C26" s="47" t="n">
        <f aca="false">C6/21.7</f>
        <v>1.77242112725984</v>
      </c>
      <c r="D26" s="47" t="n">
        <f aca="false">D6/21.7</f>
        <v>2.30414746543779</v>
      </c>
      <c r="E26" s="47" t="n">
        <f aca="false">E6/21.7</f>
        <v>2.83587380361574</v>
      </c>
      <c r="F26" s="47" t="n">
        <f aca="false">F6/21.7</f>
        <v>3.36760014179369</v>
      </c>
      <c r="G26" s="47" t="n">
        <f aca="false">G6/21.7</f>
        <v>3.89932647997164</v>
      </c>
      <c r="H26" s="47" t="n">
        <f aca="false">H6/21.7</f>
        <v>4.43105281814959</v>
      </c>
      <c r="I26" s="47" t="n">
        <f aca="false">I6/21.7</f>
        <v>4.96277915632754</v>
      </c>
      <c r="J26" s="47" t="n">
        <f aca="false">J6/21.7</f>
        <v>5.49450549450549</v>
      </c>
      <c r="K26" s="47" t="n">
        <f aca="false">K6/21.7</f>
        <v>6.02623183268345</v>
      </c>
      <c r="L26" s="47" t="n">
        <f aca="false">L6/21.7</f>
        <v>6.5579581708614</v>
      </c>
      <c r="M26" s="47" t="n">
        <f aca="false">M6/21.7</f>
        <v>7.08968450903935</v>
      </c>
      <c r="N26" s="47" t="n">
        <f aca="false">N6/21.7</f>
        <v>7.6214108472173</v>
      </c>
      <c r="O26" s="47" t="n">
        <f aca="false">O6/21.7</f>
        <v>8.15313718539525</v>
      </c>
      <c r="P26" s="47" t="n">
        <f aca="false">P6/21.7</f>
        <v>8.6848635235732</v>
      </c>
      <c r="Q26" s="47" t="n">
        <f aca="false">Q6/21.7</f>
        <v>8.86210563629919</v>
      </c>
      <c r="R26" s="47" t="n">
        <f aca="false">R6/21.7</f>
        <v>8.86210563629919</v>
      </c>
      <c r="S26" s="47" t="n">
        <f aca="false">S6/21.7</f>
        <v>8.86210563629919</v>
      </c>
      <c r="T26" s="47" t="n">
        <f aca="false">T6/21.7</f>
        <v>8.86210563629919</v>
      </c>
      <c r="U26" s="47" t="n">
        <f aca="false">U6/21.7</f>
        <v>8.86210563629919</v>
      </c>
      <c r="V26" s="47" t="n">
        <f aca="false">V6/21.7</f>
        <v>8.86210563629919</v>
      </c>
      <c r="W26" s="47" t="n">
        <f aca="false">W6/21.7</f>
        <v>8.86210563629919</v>
      </c>
      <c r="X26" s="47" t="n">
        <f aca="false">X6/21.7</f>
        <v>8.86210563629919</v>
      </c>
      <c r="Y26" s="47" t="n">
        <f aca="false">Y6/21.7</f>
        <v>8.86210563629919</v>
      </c>
      <c r="Z26" s="47" t="n">
        <f aca="false">Z6/21.7</f>
        <v>8.86210563629919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6" min="3" style="1" width="11.5"/>
    <col collapsed="false" customWidth="true" hidden="false" outlineLevel="0" max="29" min="27" style="1" width="13"/>
  </cols>
  <sheetData>
    <row r="1" customFormat="false" ht="17.25" hidden="false" customHeight="true" outlineLevel="0" collapsed="false">
      <c r="A1" s="2" t="s">
        <v>147</v>
      </c>
    </row>
    <row r="2" customFormat="false" ht="15" hidden="false" customHeight="true" outlineLevel="0" collapsed="false">
      <c r="A2" s="3" t="s">
        <v>148</v>
      </c>
    </row>
    <row r="4" customFormat="false" ht="15" hidden="false" customHeight="true" outlineLevel="0" collapsed="false">
      <c r="A4" s="4" t="s">
        <v>128</v>
      </c>
      <c r="C4" s="39" t="n">
        <v>1</v>
      </c>
      <c r="D4" s="40" t="n">
        <f aca="false">C4+1</f>
        <v>2</v>
      </c>
      <c r="E4" s="40" t="n">
        <f aca="false">D4+1</f>
        <v>3</v>
      </c>
      <c r="F4" s="40" t="n">
        <f aca="false">E4+1</f>
        <v>4</v>
      </c>
      <c r="G4" s="40" t="n">
        <f aca="false">F4+1</f>
        <v>5</v>
      </c>
      <c r="H4" s="40" t="n">
        <f aca="false">G4+1</f>
        <v>6</v>
      </c>
      <c r="I4" s="40" t="n">
        <f aca="false">H4+1</f>
        <v>7</v>
      </c>
      <c r="J4" s="40" t="n">
        <f aca="false">I4+1</f>
        <v>8</v>
      </c>
      <c r="K4" s="40" t="n">
        <f aca="false">J4+1</f>
        <v>9</v>
      </c>
      <c r="L4" s="40" t="n">
        <f aca="false">K4+1</f>
        <v>10</v>
      </c>
      <c r="M4" s="40" t="n">
        <f aca="false">L4+1</f>
        <v>11</v>
      </c>
      <c r="N4" s="40" t="n">
        <f aca="false">M4+1</f>
        <v>12</v>
      </c>
      <c r="O4" s="40" t="n">
        <f aca="false">N4+1</f>
        <v>13</v>
      </c>
      <c r="P4" s="40" t="n">
        <f aca="false">O4+1</f>
        <v>14</v>
      </c>
      <c r="Q4" s="40" t="n">
        <f aca="false">P4+1</f>
        <v>15</v>
      </c>
      <c r="R4" s="40" t="n">
        <f aca="false">Q4+1</f>
        <v>16</v>
      </c>
      <c r="S4" s="40" t="n">
        <f aca="false">R4+1</f>
        <v>17</v>
      </c>
      <c r="T4" s="40" t="n">
        <f aca="false">S4+1</f>
        <v>18</v>
      </c>
      <c r="U4" s="40" t="n">
        <f aca="false">T4+1</f>
        <v>19</v>
      </c>
      <c r="V4" s="40" t="n">
        <f aca="false">U4+1</f>
        <v>20</v>
      </c>
      <c r="W4" s="40" t="n">
        <f aca="false">V4+1</f>
        <v>21</v>
      </c>
      <c r="X4" s="40" t="n">
        <f aca="false">W4+1</f>
        <v>22</v>
      </c>
      <c r="Y4" s="40" t="n">
        <f aca="false">X4+1</f>
        <v>23</v>
      </c>
      <c r="Z4" s="40" t="n">
        <f aca="false">Y4+1</f>
        <v>24</v>
      </c>
      <c r="AA4" s="41" t="s">
        <v>129</v>
      </c>
      <c r="AB4" s="41" t="s">
        <v>130</v>
      </c>
      <c r="AC4" s="41" t="s">
        <v>131</v>
      </c>
    </row>
    <row r="5" customFormat="false" ht="15" hidden="false" customHeight="true" outlineLevel="0" collapsed="false">
      <c r="A5" s="7" t="s">
        <v>12</v>
      </c>
      <c r="C5" s="9" t="n">
        <f aca="false">MIN(Assumptions!$E$8+(C$4-1)*Assumptions!$E$9,Assumptions!$E$10)</f>
        <v>8000</v>
      </c>
      <c r="D5" s="9" t="n">
        <f aca="false">MIN(Assumptions!$E$8+(D$4-1)*Assumptions!$E$9,Assumptions!$E$10)</f>
        <v>10500</v>
      </c>
      <c r="E5" s="9" t="n">
        <f aca="false">MIN(Assumptions!$E$8+(E$4-1)*Assumptions!$E$9,Assumptions!$E$10)</f>
        <v>13000</v>
      </c>
      <c r="F5" s="9" t="n">
        <f aca="false">MIN(Assumptions!$E$8+(F$4-1)*Assumptions!$E$9,Assumptions!$E$10)</f>
        <v>15500</v>
      </c>
      <c r="G5" s="9" t="n">
        <f aca="false">MIN(Assumptions!$E$8+(G$4-1)*Assumptions!$E$9,Assumptions!$E$10)</f>
        <v>18000</v>
      </c>
      <c r="H5" s="9" t="n">
        <f aca="false">MIN(Assumptions!$E$8+(H$4-1)*Assumptions!$E$9,Assumptions!$E$10)</f>
        <v>20500</v>
      </c>
      <c r="I5" s="9" t="n">
        <f aca="false">MIN(Assumptions!$E$8+(I$4-1)*Assumptions!$E$9,Assumptions!$E$10)</f>
        <v>23000</v>
      </c>
      <c r="J5" s="9" t="n">
        <f aca="false">MIN(Assumptions!$E$8+(J$4-1)*Assumptions!$E$9,Assumptions!$E$10)</f>
        <v>25500</v>
      </c>
      <c r="K5" s="9" t="n">
        <f aca="false">MIN(Assumptions!$E$8+(K$4-1)*Assumptions!$E$9,Assumptions!$E$10)</f>
        <v>28000</v>
      </c>
      <c r="L5" s="9" t="n">
        <f aca="false">MIN(Assumptions!$E$8+(L$4-1)*Assumptions!$E$9,Assumptions!$E$10)</f>
        <v>30500</v>
      </c>
      <c r="M5" s="9" t="n">
        <f aca="false">MIN(Assumptions!$E$8+(M$4-1)*Assumptions!$E$9,Assumptions!$E$10)</f>
        <v>33000</v>
      </c>
      <c r="N5" s="9" t="n">
        <f aca="false">MIN(Assumptions!$E$8+(N$4-1)*Assumptions!$E$9,Assumptions!$E$10)</f>
        <v>35500</v>
      </c>
      <c r="O5" s="9" t="n">
        <f aca="false">MIN(Assumptions!$E$8+(O$4-1)*Assumptions!$E$9,Assumptions!$E$10)</f>
        <v>38000</v>
      </c>
      <c r="P5" s="9" t="n">
        <f aca="false">MIN(Assumptions!$E$8+(P$4-1)*Assumptions!$E$9,Assumptions!$E$10)</f>
        <v>40000</v>
      </c>
      <c r="Q5" s="9" t="n">
        <f aca="false">MIN(Assumptions!$E$8+(Q$4-1)*Assumptions!$E$9,Assumptions!$E$10)</f>
        <v>40000</v>
      </c>
      <c r="R5" s="9" t="n">
        <f aca="false">MIN(Assumptions!$E$8+(R$4-1)*Assumptions!$E$9,Assumptions!$E$10)</f>
        <v>40000</v>
      </c>
      <c r="S5" s="9" t="n">
        <f aca="false">MIN(Assumptions!$E$8+(S$4-1)*Assumptions!$E$9,Assumptions!$E$10)</f>
        <v>40000</v>
      </c>
      <c r="T5" s="9" t="n">
        <f aca="false">MIN(Assumptions!$E$8+(T$4-1)*Assumptions!$E$9,Assumptions!$E$10)</f>
        <v>40000</v>
      </c>
      <c r="U5" s="9" t="n">
        <f aca="false">MIN(Assumptions!$E$8+(U$4-1)*Assumptions!$E$9,Assumptions!$E$10)</f>
        <v>40000</v>
      </c>
      <c r="V5" s="9" t="n">
        <f aca="false">MIN(Assumptions!$E$8+(V$4-1)*Assumptions!$E$9,Assumptions!$E$10)</f>
        <v>40000</v>
      </c>
      <c r="W5" s="9" t="n">
        <f aca="false">MIN(Assumptions!$E$8+(W$4-1)*Assumptions!$E$9,Assumptions!$E$10)</f>
        <v>40000</v>
      </c>
      <c r="X5" s="9" t="n">
        <f aca="false">MIN(Assumptions!$E$8+(X$4-1)*Assumptions!$E$9,Assumptions!$E$10)</f>
        <v>40000</v>
      </c>
      <c r="Y5" s="9" t="n">
        <f aca="false">MIN(Assumptions!$E$8+(Y$4-1)*Assumptions!$E$9,Assumptions!$E$10)</f>
        <v>40000</v>
      </c>
      <c r="Z5" s="9" t="n">
        <f aca="false">MIN(Assumptions!$E$8+(Z$4-1)*Assumptions!$E$9,Assumptions!$E$10)</f>
        <v>40000</v>
      </c>
      <c r="AA5" s="42" t="n">
        <f aca="false">SUM(C5:N5)</f>
        <v>261000</v>
      </c>
      <c r="AB5" s="42" t="n">
        <f aca="false">SUM(O5:Z5)</f>
        <v>478000</v>
      </c>
      <c r="AC5" s="42" t="n">
        <f aca="false">AA5+AB5</f>
        <v>739000</v>
      </c>
    </row>
    <row r="6" customFormat="false" ht="15" hidden="false" customHeight="true" outlineLevel="0" collapsed="false">
      <c r="A6" s="7" t="s">
        <v>132</v>
      </c>
      <c r="C6" s="8" t="n">
        <f aca="false">C5/Assumptions!$E$6</f>
        <v>88.8888888888889</v>
      </c>
      <c r="D6" s="8" t="n">
        <f aca="false">D5/Assumptions!$E$6</f>
        <v>116.666666666667</v>
      </c>
      <c r="E6" s="8" t="n">
        <f aca="false">E5/Assumptions!$E$6</f>
        <v>144.444444444444</v>
      </c>
      <c r="F6" s="8" t="n">
        <f aca="false">F5/Assumptions!$E$6</f>
        <v>172.222222222222</v>
      </c>
      <c r="G6" s="8" t="n">
        <f aca="false">G5/Assumptions!$E$6</f>
        <v>200</v>
      </c>
      <c r="H6" s="8" t="n">
        <f aca="false">H5/Assumptions!$E$6</f>
        <v>227.777777777778</v>
      </c>
      <c r="I6" s="8" t="n">
        <f aca="false">I5/Assumptions!$E$6</f>
        <v>255.555555555556</v>
      </c>
      <c r="J6" s="8" t="n">
        <f aca="false">J5/Assumptions!$E$6</f>
        <v>283.333333333333</v>
      </c>
      <c r="K6" s="8" t="n">
        <f aca="false">K5/Assumptions!$E$6</f>
        <v>311.111111111111</v>
      </c>
      <c r="L6" s="8" t="n">
        <f aca="false">L5/Assumptions!$E$6</f>
        <v>338.888888888889</v>
      </c>
      <c r="M6" s="8" t="n">
        <f aca="false">M5/Assumptions!$E$6</f>
        <v>366.666666666667</v>
      </c>
      <c r="N6" s="8" t="n">
        <f aca="false">N5/Assumptions!$E$6</f>
        <v>394.444444444444</v>
      </c>
      <c r="O6" s="8" t="n">
        <f aca="false">O5/Assumptions!$E$6</f>
        <v>422.222222222222</v>
      </c>
      <c r="P6" s="8" t="n">
        <f aca="false">P5/Assumptions!$E$6</f>
        <v>444.444444444444</v>
      </c>
      <c r="Q6" s="8" t="n">
        <f aca="false">Q5/Assumptions!$E$6</f>
        <v>444.444444444444</v>
      </c>
      <c r="R6" s="8" t="n">
        <f aca="false">R5/Assumptions!$E$6</f>
        <v>444.444444444444</v>
      </c>
      <c r="S6" s="8" t="n">
        <f aca="false">S5/Assumptions!$E$6</f>
        <v>444.444444444444</v>
      </c>
      <c r="T6" s="8" t="n">
        <f aca="false">T5/Assumptions!$E$6</f>
        <v>444.444444444444</v>
      </c>
      <c r="U6" s="8" t="n">
        <f aca="false">U5/Assumptions!$E$6</f>
        <v>444.444444444444</v>
      </c>
      <c r="V6" s="8" t="n">
        <f aca="false">V5/Assumptions!$E$6</f>
        <v>444.444444444444</v>
      </c>
      <c r="W6" s="8" t="n">
        <f aca="false">W5/Assumptions!$E$6</f>
        <v>444.444444444444</v>
      </c>
      <c r="X6" s="8" t="n">
        <f aca="false">X5/Assumptions!$E$6</f>
        <v>444.444444444444</v>
      </c>
      <c r="Y6" s="8" t="n">
        <f aca="false">Y5/Assumptions!$E$6</f>
        <v>444.444444444444</v>
      </c>
      <c r="Z6" s="8" t="n">
        <f aca="false">Z5/Assumptions!$E$6</f>
        <v>444.444444444444</v>
      </c>
      <c r="AA6" s="43" t="n">
        <f aca="false">SUM(C6:N6)</f>
        <v>2900</v>
      </c>
      <c r="AB6" s="43" t="n">
        <f aca="false">SUM(O6:Z6)</f>
        <v>5311.11111111111</v>
      </c>
      <c r="AC6" s="43" t="n">
        <f aca="false">AA6+AB6</f>
        <v>8211.11111111111</v>
      </c>
    </row>
    <row r="7" customFormat="false" ht="15" hidden="false" customHeight="true" outlineLevel="0" collapsed="false">
      <c r="A7" s="7" t="s">
        <v>133</v>
      </c>
      <c r="C7" s="12" t="n">
        <f aca="false">C6*Assumptions!$E$7</f>
        <v>6.22222222222222</v>
      </c>
      <c r="D7" s="12" t="n">
        <f aca="false">D6*Assumptions!$E$7</f>
        <v>8.16666666666667</v>
      </c>
      <c r="E7" s="12" t="n">
        <f aca="false">E6*Assumptions!$E$7</f>
        <v>10.1111111111111</v>
      </c>
      <c r="F7" s="12" t="n">
        <f aca="false">F6*Assumptions!$E$7</f>
        <v>12.0555555555556</v>
      </c>
      <c r="G7" s="12" t="n">
        <f aca="false">G6*Assumptions!$E$7</f>
        <v>14</v>
      </c>
      <c r="H7" s="12" t="n">
        <f aca="false">H6*Assumptions!$E$7</f>
        <v>15.9444444444444</v>
      </c>
      <c r="I7" s="12" t="n">
        <f aca="false">I6*Assumptions!$E$7</f>
        <v>17.8888888888889</v>
      </c>
      <c r="J7" s="12" t="n">
        <f aca="false">J6*Assumptions!$E$7</f>
        <v>19.8333333333333</v>
      </c>
      <c r="K7" s="12" t="n">
        <f aca="false">K6*Assumptions!$E$7</f>
        <v>21.7777777777778</v>
      </c>
      <c r="L7" s="12" t="n">
        <f aca="false">L6*Assumptions!$E$7</f>
        <v>23.7222222222222</v>
      </c>
      <c r="M7" s="12" t="n">
        <f aca="false">M6*Assumptions!$E$7</f>
        <v>25.6666666666667</v>
      </c>
      <c r="N7" s="12" t="n">
        <f aca="false">N6*Assumptions!$E$7</f>
        <v>27.6111111111111</v>
      </c>
      <c r="O7" s="12" t="n">
        <f aca="false">O6*Assumptions!$E$7</f>
        <v>29.5555555555556</v>
      </c>
      <c r="P7" s="12" t="n">
        <f aca="false">P6*Assumptions!$E$7</f>
        <v>31.1111111111111</v>
      </c>
      <c r="Q7" s="12" t="n">
        <f aca="false">Q6*Assumptions!$E$7</f>
        <v>31.1111111111111</v>
      </c>
      <c r="R7" s="12" t="n">
        <f aca="false">R6*Assumptions!$E$7</f>
        <v>31.1111111111111</v>
      </c>
      <c r="S7" s="12" t="n">
        <f aca="false">S6*Assumptions!$E$7</f>
        <v>31.1111111111111</v>
      </c>
      <c r="T7" s="12" t="n">
        <f aca="false">T6*Assumptions!$E$7</f>
        <v>31.1111111111111</v>
      </c>
      <c r="U7" s="12" t="n">
        <f aca="false">U6*Assumptions!$E$7</f>
        <v>31.1111111111111</v>
      </c>
      <c r="V7" s="12" t="n">
        <f aca="false">V6*Assumptions!$E$7</f>
        <v>31.1111111111111</v>
      </c>
      <c r="W7" s="12" t="n">
        <f aca="false">W6*Assumptions!$E$7</f>
        <v>31.1111111111111</v>
      </c>
      <c r="X7" s="12" t="n">
        <f aca="false">X6*Assumptions!$E$7</f>
        <v>31.1111111111111</v>
      </c>
      <c r="Y7" s="12" t="n">
        <f aca="false">Y6*Assumptions!$E$7</f>
        <v>31.1111111111111</v>
      </c>
      <c r="Z7" s="12" t="n">
        <f aca="false">Z6*Assumptions!$E$7</f>
        <v>31.1111111111111</v>
      </c>
      <c r="AA7" s="44" t="n">
        <f aca="false">SUM(C7:N7)</f>
        <v>203</v>
      </c>
      <c r="AB7" s="44" t="n">
        <f aca="false">SUM(O7:Z7)</f>
        <v>371.777777777778</v>
      </c>
      <c r="AC7" s="44" t="n">
        <f aca="false">AA7+AB7</f>
        <v>574.777777777778</v>
      </c>
    </row>
    <row r="8" customFormat="false" ht="15" hidden="false" customHeight="true" outlineLevel="0" collapsed="false">
      <c r="A8" s="7" t="s">
        <v>134</v>
      </c>
      <c r="C8" s="9" t="n">
        <f aca="false">C7*Assumptions!$E$5</f>
        <v>404444.444444444</v>
      </c>
      <c r="D8" s="9" t="n">
        <f aca="false">D7*Assumptions!$E$5</f>
        <v>530833.333333333</v>
      </c>
      <c r="E8" s="9" t="n">
        <f aca="false">E7*Assumptions!$E$5</f>
        <v>657222.222222222</v>
      </c>
      <c r="F8" s="9" t="n">
        <f aca="false">F7*Assumptions!$E$5</f>
        <v>783611.111111111</v>
      </c>
      <c r="G8" s="9" t="n">
        <f aca="false">G7*Assumptions!$E$5</f>
        <v>910000</v>
      </c>
      <c r="H8" s="9" t="n">
        <f aca="false">H7*Assumptions!$E$5</f>
        <v>1036388.88888889</v>
      </c>
      <c r="I8" s="9" t="n">
        <f aca="false">I7*Assumptions!$E$5</f>
        <v>1162777.77777778</v>
      </c>
      <c r="J8" s="9" t="n">
        <f aca="false">J7*Assumptions!$E$5</f>
        <v>1289166.66666667</v>
      </c>
      <c r="K8" s="9" t="n">
        <f aca="false">K7*Assumptions!$E$5</f>
        <v>1415555.55555556</v>
      </c>
      <c r="L8" s="9" t="n">
        <f aca="false">L7*Assumptions!$E$5</f>
        <v>1541944.44444444</v>
      </c>
      <c r="M8" s="9" t="n">
        <f aca="false">M7*Assumptions!$E$5</f>
        <v>1668333.33333333</v>
      </c>
      <c r="N8" s="9" t="n">
        <f aca="false">N7*Assumptions!$E$5</f>
        <v>1794722.22222222</v>
      </c>
      <c r="O8" s="9" t="n">
        <f aca="false">O7*Assumptions!$E$5</f>
        <v>1921111.11111111</v>
      </c>
      <c r="P8" s="9" t="n">
        <f aca="false">P7*Assumptions!$E$5</f>
        <v>2022222.22222222</v>
      </c>
      <c r="Q8" s="9" t="n">
        <f aca="false">Q7*Assumptions!$E$5</f>
        <v>2022222.22222222</v>
      </c>
      <c r="R8" s="9" t="n">
        <f aca="false">R7*Assumptions!$E$5</f>
        <v>2022222.22222222</v>
      </c>
      <c r="S8" s="9" t="n">
        <f aca="false">S7*Assumptions!$E$5</f>
        <v>2022222.22222222</v>
      </c>
      <c r="T8" s="9" t="n">
        <f aca="false">T7*Assumptions!$E$5</f>
        <v>2022222.22222222</v>
      </c>
      <c r="U8" s="9" t="n">
        <f aca="false">U7*Assumptions!$E$5</f>
        <v>2022222.22222222</v>
      </c>
      <c r="V8" s="9" t="n">
        <f aca="false">V7*Assumptions!$E$5</f>
        <v>2022222.22222222</v>
      </c>
      <c r="W8" s="9" t="n">
        <f aca="false">W7*Assumptions!$E$5</f>
        <v>2022222.22222222</v>
      </c>
      <c r="X8" s="9" t="n">
        <f aca="false">X7*Assumptions!$E$5</f>
        <v>2022222.22222222</v>
      </c>
      <c r="Y8" s="9" t="n">
        <f aca="false">Y7*Assumptions!$E$5</f>
        <v>2022222.22222222</v>
      </c>
      <c r="Z8" s="9" t="n">
        <f aca="false">Z7*Assumptions!$E$5</f>
        <v>2022222.22222222</v>
      </c>
      <c r="AA8" s="42" t="n">
        <f aca="false">SUM(C8:N8)</f>
        <v>13195000</v>
      </c>
      <c r="AB8" s="42" t="n">
        <f aca="false">SUM(O8:Z8)</f>
        <v>24165555.5555556</v>
      </c>
      <c r="AC8" s="42" t="n">
        <f aca="false">AA8+AB8</f>
        <v>37360555.5555556</v>
      </c>
    </row>
    <row r="9" customFormat="false" ht="15" hidden="false" customHeight="true" outlineLevel="0" collapsed="false">
      <c r="A9" s="7" t="s">
        <v>135</v>
      </c>
      <c r="C9" s="12" t="n">
        <f aca="false">IF(C$4&gt;Assumptions!$E$17,INDEX($C$7:$Z$7,C$4-Assumptions!$E$17)*Assumptions!$E$16,0)</f>
        <v>0</v>
      </c>
      <c r="D9" s="12" t="n">
        <f aca="false">IF(D$4&gt;Assumptions!$E$17,INDEX($C$7:$Z$7,D$4-Assumptions!$E$17)*Assumptions!$E$16,0)</f>
        <v>0</v>
      </c>
      <c r="E9" s="12" t="n">
        <f aca="false">IF(E$4&gt;Assumptions!$E$17,INDEX($C$7:$Z$7,E$4-Assumptions!$E$17)*Assumptions!$E$16,0)</f>
        <v>0</v>
      </c>
      <c r="F9" s="12" t="n">
        <f aca="false">IF(F$4&gt;Assumptions!$E$17,INDEX($C$7:$Z$7,F$4-Assumptions!$E$17)*Assumptions!$E$16,0)</f>
        <v>0</v>
      </c>
      <c r="G9" s="12" t="n">
        <f aca="false">IF(G$4&gt;Assumptions!$E$17,INDEX($C$7:$Z$7,G$4-Assumptions!$E$17)*Assumptions!$E$16,0)</f>
        <v>0</v>
      </c>
      <c r="H9" s="12" t="n">
        <f aca="false">IF(H$4&gt;Assumptions!$E$17,INDEX($C$7:$Z$7,H$4-Assumptions!$E$17)*Assumptions!$E$16,0)</f>
        <v>2.8</v>
      </c>
      <c r="I9" s="12" t="n">
        <f aca="false">IF(I$4&gt;Assumptions!$E$17,INDEX($C$7:$Z$7,I$4-Assumptions!$E$17)*Assumptions!$E$16,0)</f>
        <v>3.675</v>
      </c>
      <c r="J9" s="12" t="n">
        <f aca="false">IF(J$4&gt;Assumptions!$E$17,INDEX($C$7:$Z$7,J$4-Assumptions!$E$17)*Assumptions!$E$16,0)</f>
        <v>4.55</v>
      </c>
      <c r="K9" s="12" t="n">
        <f aca="false">IF(K$4&gt;Assumptions!$E$17,INDEX($C$7:$Z$7,K$4-Assumptions!$E$17)*Assumptions!$E$16,0)</f>
        <v>5.425</v>
      </c>
      <c r="L9" s="12" t="n">
        <f aca="false">IF(L$4&gt;Assumptions!$E$17,INDEX($C$7:$Z$7,L$4-Assumptions!$E$17)*Assumptions!$E$16,0)</f>
        <v>6.3</v>
      </c>
      <c r="M9" s="12" t="n">
        <f aca="false">IF(M$4&gt;Assumptions!$E$17,INDEX($C$7:$Z$7,M$4-Assumptions!$E$17)*Assumptions!$E$16,0)</f>
        <v>7.175</v>
      </c>
      <c r="N9" s="12" t="n">
        <f aca="false">IF(N$4&gt;Assumptions!$E$17,INDEX($C$7:$Z$7,N$4-Assumptions!$E$17)*Assumptions!$E$16,0)</f>
        <v>8.05</v>
      </c>
      <c r="O9" s="12" t="n">
        <f aca="false">IF(O$4&gt;Assumptions!$E$17,INDEX($C$7:$Z$7,O$4-Assumptions!$E$17)*Assumptions!$E$16,0)</f>
        <v>8.925</v>
      </c>
      <c r="P9" s="12" t="n">
        <f aca="false">IF(P$4&gt;Assumptions!$E$17,INDEX($C$7:$Z$7,P$4-Assumptions!$E$17)*Assumptions!$E$16,0)</f>
        <v>9.8</v>
      </c>
      <c r="Q9" s="12" t="n">
        <f aca="false">IF(Q$4&gt;Assumptions!$E$17,INDEX($C$7:$Z$7,Q$4-Assumptions!$E$17)*Assumptions!$E$16,0)</f>
        <v>10.675</v>
      </c>
      <c r="R9" s="12" t="n">
        <f aca="false">IF(R$4&gt;Assumptions!$E$17,INDEX($C$7:$Z$7,R$4-Assumptions!$E$17)*Assumptions!$E$16,0)</f>
        <v>11.55</v>
      </c>
      <c r="S9" s="12" t="n">
        <f aca="false">IF(S$4&gt;Assumptions!$E$17,INDEX($C$7:$Z$7,S$4-Assumptions!$E$17)*Assumptions!$E$16,0)</f>
        <v>12.425</v>
      </c>
      <c r="T9" s="12" t="n">
        <f aca="false">IF(T$4&gt;Assumptions!$E$17,INDEX($C$7:$Z$7,T$4-Assumptions!$E$17)*Assumptions!$E$16,0)</f>
        <v>13.3</v>
      </c>
      <c r="U9" s="12" t="n">
        <f aca="false">IF(U$4&gt;Assumptions!$E$17,INDEX($C$7:$Z$7,U$4-Assumptions!$E$17)*Assumptions!$E$16,0)</f>
        <v>14</v>
      </c>
      <c r="V9" s="12" t="n">
        <f aca="false">IF(V$4&gt;Assumptions!$E$17,INDEX($C$7:$Z$7,V$4-Assumptions!$E$17)*Assumptions!$E$16,0)</f>
        <v>14</v>
      </c>
      <c r="W9" s="12" t="n">
        <f aca="false">IF(W$4&gt;Assumptions!$E$17,INDEX($C$7:$Z$7,W$4-Assumptions!$E$17)*Assumptions!$E$16,0)</f>
        <v>14</v>
      </c>
      <c r="X9" s="12" t="n">
        <f aca="false">IF(X$4&gt;Assumptions!$E$17,INDEX($C$7:$Z$7,X$4-Assumptions!$E$17)*Assumptions!$E$16,0)</f>
        <v>14</v>
      </c>
      <c r="Y9" s="12" t="n">
        <f aca="false">IF(Y$4&gt;Assumptions!$E$17,INDEX($C$7:$Z$7,Y$4-Assumptions!$E$17)*Assumptions!$E$16,0)</f>
        <v>14</v>
      </c>
      <c r="Z9" s="12" t="n">
        <f aca="false">IF(Z$4&gt;Assumptions!$E$17,INDEX($C$7:$Z$7,Z$4-Assumptions!$E$17)*Assumptions!$E$16,0)</f>
        <v>14</v>
      </c>
      <c r="AA9" s="44" t="n">
        <f aca="false">SUM(C9:N9)</f>
        <v>37.975</v>
      </c>
      <c r="AB9" s="44" t="n">
        <f aca="false">SUM(O9:Z9)</f>
        <v>150.675</v>
      </c>
      <c r="AC9" s="44" t="n">
        <f aca="false">AA9+AB9</f>
        <v>188.65</v>
      </c>
    </row>
    <row r="10" customFormat="false" ht="15" hidden="false" customHeight="true" outlineLevel="0" collapsed="false">
      <c r="A10" s="7" t="s">
        <v>136</v>
      </c>
      <c r="C10" s="9" t="n">
        <f aca="false">C9*Assumptions!$E$5</f>
        <v>0</v>
      </c>
      <c r="D10" s="9" t="n">
        <f aca="false">D9*Assumptions!$E$5</f>
        <v>0</v>
      </c>
      <c r="E10" s="9" t="n">
        <f aca="false">E9*Assumptions!$E$5</f>
        <v>0</v>
      </c>
      <c r="F10" s="9" t="n">
        <f aca="false">F9*Assumptions!$E$5</f>
        <v>0</v>
      </c>
      <c r="G10" s="9" t="n">
        <f aca="false">G9*Assumptions!$E$5</f>
        <v>0</v>
      </c>
      <c r="H10" s="9" t="n">
        <f aca="false">H9*Assumptions!$E$5</f>
        <v>182000</v>
      </c>
      <c r="I10" s="9" t="n">
        <f aca="false">I9*Assumptions!$E$5</f>
        <v>238875</v>
      </c>
      <c r="J10" s="9" t="n">
        <f aca="false">J9*Assumptions!$E$5</f>
        <v>295750</v>
      </c>
      <c r="K10" s="9" t="n">
        <f aca="false">K9*Assumptions!$E$5</f>
        <v>352625</v>
      </c>
      <c r="L10" s="9" t="n">
        <f aca="false">L9*Assumptions!$E$5</f>
        <v>409500</v>
      </c>
      <c r="M10" s="9" t="n">
        <f aca="false">M9*Assumptions!$E$5</f>
        <v>466375</v>
      </c>
      <c r="N10" s="9" t="n">
        <f aca="false">N9*Assumptions!$E$5</f>
        <v>523250</v>
      </c>
      <c r="O10" s="9" t="n">
        <f aca="false">O9*Assumptions!$E$5</f>
        <v>580125</v>
      </c>
      <c r="P10" s="9" t="n">
        <f aca="false">P9*Assumptions!$E$5</f>
        <v>637000</v>
      </c>
      <c r="Q10" s="9" t="n">
        <f aca="false">Q9*Assumptions!$E$5</f>
        <v>693875</v>
      </c>
      <c r="R10" s="9" t="n">
        <f aca="false">R9*Assumptions!$E$5</f>
        <v>750750</v>
      </c>
      <c r="S10" s="9" t="n">
        <f aca="false">S9*Assumptions!$E$5</f>
        <v>807625</v>
      </c>
      <c r="T10" s="9" t="n">
        <f aca="false">T9*Assumptions!$E$5</f>
        <v>864500</v>
      </c>
      <c r="U10" s="9" t="n">
        <f aca="false">U9*Assumptions!$E$5</f>
        <v>910000</v>
      </c>
      <c r="V10" s="9" t="n">
        <f aca="false">V9*Assumptions!$E$5</f>
        <v>910000</v>
      </c>
      <c r="W10" s="9" t="n">
        <f aca="false">W9*Assumptions!$E$5</f>
        <v>910000</v>
      </c>
      <c r="X10" s="9" t="n">
        <f aca="false">X9*Assumptions!$E$5</f>
        <v>910000</v>
      </c>
      <c r="Y10" s="9" t="n">
        <f aca="false">Y9*Assumptions!$E$5</f>
        <v>910000</v>
      </c>
      <c r="Z10" s="9" t="n">
        <f aca="false">Z9*Assumptions!$E$5</f>
        <v>910000</v>
      </c>
      <c r="AA10" s="42" t="n">
        <f aca="false">SUM(C10:N10)</f>
        <v>2468375</v>
      </c>
      <c r="AB10" s="42" t="n">
        <f aca="false">SUM(O10:Z10)</f>
        <v>9793875</v>
      </c>
      <c r="AC10" s="42" t="n">
        <f aca="false">AA10+AB10</f>
        <v>12262250</v>
      </c>
    </row>
    <row r="11" customFormat="false" ht="15" hidden="false" customHeight="true" outlineLevel="0" collapsed="false">
      <c r="A11" s="10" t="s">
        <v>137</v>
      </c>
      <c r="C11" s="45" t="n">
        <f aca="false">C8+C10</f>
        <v>404444.444444444</v>
      </c>
      <c r="D11" s="45" t="n">
        <f aca="false">D8+D10</f>
        <v>530833.333333333</v>
      </c>
      <c r="E11" s="45" t="n">
        <f aca="false">E8+E10</f>
        <v>657222.222222222</v>
      </c>
      <c r="F11" s="45" t="n">
        <f aca="false">F8+F10</f>
        <v>783611.111111111</v>
      </c>
      <c r="G11" s="45" t="n">
        <f aca="false">G8+G10</f>
        <v>910000</v>
      </c>
      <c r="H11" s="45" t="n">
        <f aca="false">H8+H10</f>
        <v>1218388.88888889</v>
      </c>
      <c r="I11" s="45" t="n">
        <f aca="false">I8+I10</f>
        <v>1401652.77777778</v>
      </c>
      <c r="J11" s="45" t="n">
        <f aca="false">J8+J10</f>
        <v>1584916.66666667</v>
      </c>
      <c r="K11" s="45" t="n">
        <f aca="false">K8+K10</f>
        <v>1768180.55555556</v>
      </c>
      <c r="L11" s="45" t="n">
        <f aca="false">L8+L10</f>
        <v>1951444.44444444</v>
      </c>
      <c r="M11" s="45" t="n">
        <f aca="false">M8+M10</f>
        <v>2134708.33333333</v>
      </c>
      <c r="N11" s="45" t="n">
        <f aca="false">N8+N10</f>
        <v>2317972.22222222</v>
      </c>
      <c r="O11" s="45" t="n">
        <f aca="false">O8+O10</f>
        <v>2501236.11111111</v>
      </c>
      <c r="P11" s="45" t="n">
        <f aca="false">P8+P10</f>
        <v>2659222.22222222</v>
      </c>
      <c r="Q11" s="45" t="n">
        <f aca="false">Q8+Q10</f>
        <v>2716097.22222222</v>
      </c>
      <c r="R11" s="45" t="n">
        <f aca="false">R8+R10</f>
        <v>2772972.22222222</v>
      </c>
      <c r="S11" s="45" t="n">
        <f aca="false">S8+S10</f>
        <v>2829847.22222222</v>
      </c>
      <c r="T11" s="45" t="n">
        <f aca="false">T8+T10</f>
        <v>2886722.22222222</v>
      </c>
      <c r="U11" s="45" t="n">
        <f aca="false">U8+U10</f>
        <v>2932222.22222222</v>
      </c>
      <c r="V11" s="45" t="n">
        <f aca="false">V8+V10</f>
        <v>2932222.22222222</v>
      </c>
      <c r="W11" s="45" t="n">
        <f aca="false">W8+W10</f>
        <v>2932222.22222222</v>
      </c>
      <c r="X11" s="45" t="n">
        <f aca="false">X8+X10</f>
        <v>2932222.22222222</v>
      </c>
      <c r="Y11" s="45" t="n">
        <f aca="false">Y8+Y10</f>
        <v>2932222.22222222</v>
      </c>
      <c r="Z11" s="45" t="n">
        <f aca="false">Z8+Z10</f>
        <v>2932222.22222222</v>
      </c>
      <c r="AA11" s="42" t="n">
        <f aca="false">SUM(C11:N11)</f>
        <v>15663375</v>
      </c>
      <c r="AB11" s="42" t="n">
        <f aca="false">SUM(O11:Z11)</f>
        <v>33959430.5555556</v>
      </c>
      <c r="AC11" s="42" t="n">
        <f aca="false">AA11+AB11</f>
        <v>49622805.5555556</v>
      </c>
    </row>
    <row r="12" customFormat="false" ht="15" hidden="false" customHeight="true" outlineLevel="0" collapsed="false">
      <c r="A12" s="5" t="s">
        <v>138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customFormat="false" ht="15" hidden="false" customHeight="true" outlineLevel="0" collapsed="false">
      <c r="A13" s="7" t="s">
        <v>51</v>
      </c>
      <c r="C13" s="9" t="n">
        <f aca="false">(C8+C10*Assumptions!$E$18)*Assumptions!$E$11*Assumptions!$E$12</f>
        <v>23538.6666666667</v>
      </c>
      <c r="D13" s="9" t="n">
        <f aca="false">(D8+D10*Assumptions!$E$18)*Assumptions!$E$11*Assumptions!$E$12</f>
        <v>30894.5</v>
      </c>
      <c r="E13" s="9" t="n">
        <f aca="false">(E8+E10*Assumptions!$E$18)*Assumptions!$E$11*Assumptions!$E$12</f>
        <v>38250.3333333333</v>
      </c>
      <c r="F13" s="9" t="n">
        <f aca="false">(F8+F10*Assumptions!$E$18)*Assumptions!$E$11*Assumptions!$E$12</f>
        <v>45606.1666666667</v>
      </c>
      <c r="G13" s="9" t="n">
        <f aca="false">(G8+G10*Assumptions!$E$18)*Assumptions!$E$11*Assumptions!$E$12</f>
        <v>52962</v>
      </c>
      <c r="H13" s="9" t="n">
        <f aca="false">(H8+H10*Assumptions!$E$18)*Assumptions!$E$11*Assumptions!$E$12</f>
        <v>70910.2333333333</v>
      </c>
      <c r="I13" s="9" t="n">
        <f aca="false">(I8+I10*Assumptions!$E$18)*Assumptions!$E$11*Assumptions!$E$12</f>
        <v>81576.1916666667</v>
      </c>
      <c r="J13" s="9" t="n">
        <f aca="false">(J8+J10*Assumptions!$E$18)*Assumptions!$E$11*Assumptions!$E$12</f>
        <v>92242.15</v>
      </c>
      <c r="K13" s="9" t="n">
        <f aca="false">(K8+K10*Assumptions!$E$18)*Assumptions!$E$11*Assumptions!$E$12</f>
        <v>102908.108333333</v>
      </c>
      <c r="L13" s="9" t="n">
        <f aca="false">(L8+L10*Assumptions!$E$18)*Assumptions!$E$11*Assumptions!$E$12</f>
        <v>113574.066666667</v>
      </c>
      <c r="M13" s="9" t="n">
        <f aca="false">(M8+M10*Assumptions!$E$18)*Assumptions!$E$11*Assumptions!$E$12</f>
        <v>124240.025</v>
      </c>
      <c r="N13" s="9" t="n">
        <f aca="false">(N8+N10*Assumptions!$E$18)*Assumptions!$E$11*Assumptions!$E$12</f>
        <v>134905.983333333</v>
      </c>
      <c r="O13" s="9" t="n">
        <f aca="false">(O8+O10*Assumptions!$E$18)*Assumptions!$E$11*Assumptions!$E$12</f>
        <v>145571.941666667</v>
      </c>
      <c r="P13" s="9" t="n">
        <f aca="false">(P8+P10*Assumptions!$E$18)*Assumptions!$E$11*Assumptions!$E$12</f>
        <v>154766.733333333</v>
      </c>
      <c r="Q13" s="9" t="n">
        <f aca="false">(Q8+Q10*Assumptions!$E$18)*Assumptions!$E$11*Assumptions!$E$12</f>
        <v>158076.858333333</v>
      </c>
      <c r="R13" s="9" t="n">
        <f aca="false">(R8+R10*Assumptions!$E$18)*Assumptions!$E$11*Assumptions!$E$12</f>
        <v>161386.983333333</v>
      </c>
      <c r="S13" s="9" t="n">
        <f aca="false">(S8+S10*Assumptions!$E$18)*Assumptions!$E$11*Assumptions!$E$12</f>
        <v>164697.108333333</v>
      </c>
      <c r="T13" s="9" t="n">
        <f aca="false">(T8+T10*Assumptions!$E$18)*Assumptions!$E$11*Assumptions!$E$12</f>
        <v>168007.233333333</v>
      </c>
      <c r="U13" s="9" t="n">
        <f aca="false">(U8+U10*Assumptions!$E$18)*Assumptions!$E$11*Assumptions!$E$12</f>
        <v>170655.333333333</v>
      </c>
      <c r="V13" s="9" t="n">
        <f aca="false">(V8+V10*Assumptions!$E$18)*Assumptions!$E$11*Assumptions!$E$12</f>
        <v>170655.333333333</v>
      </c>
      <c r="W13" s="9" t="n">
        <f aca="false">(W8+W10*Assumptions!$E$18)*Assumptions!$E$11*Assumptions!$E$12</f>
        <v>170655.333333333</v>
      </c>
      <c r="X13" s="9" t="n">
        <f aca="false">(X8+X10*Assumptions!$E$18)*Assumptions!$E$11*Assumptions!$E$12</f>
        <v>170655.333333333</v>
      </c>
      <c r="Y13" s="9" t="n">
        <f aca="false">(Y8+Y10*Assumptions!$E$18)*Assumptions!$E$11*Assumptions!$E$12</f>
        <v>170655.333333333</v>
      </c>
      <c r="Z13" s="9" t="n">
        <f aca="false">(Z8+Z10*Assumptions!$E$18)*Assumptions!$E$11*Assumptions!$E$12</f>
        <v>170655.333333333</v>
      </c>
      <c r="AA13" s="42" t="n">
        <f aca="false">SUM(C13:N13)</f>
        <v>911608.425</v>
      </c>
      <c r="AB13" s="42" t="n">
        <f aca="false">SUM(O13:Z13)</f>
        <v>1976438.85833333</v>
      </c>
      <c r="AC13" s="42" t="n">
        <f aca="false">AA13+AB13</f>
        <v>2888047.28333333</v>
      </c>
    </row>
    <row r="14" customFormat="false" ht="15" hidden="false" customHeight="true" outlineLevel="0" collapsed="false">
      <c r="A14" s="7" t="s">
        <v>53</v>
      </c>
      <c r="C14" s="9" t="n">
        <f aca="false">C11*Assumptions!$E$13*Assumptions!$E$14*(1-Assumptions!$E$15)</f>
        <v>19615.5555555556</v>
      </c>
      <c r="D14" s="9" t="n">
        <f aca="false">D11*Assumptions!$E$13*Assumptions!$E$14*(1-Assumptions!$E$15)</f>
        <v>25745.4166666667</v>
      </c>
      <c r="E14" s="9" t="n">
        <f aca="false">E11*Assumptions!$E$13*Assumptions!$E$14*(1-Assumptions!$E$15)</f>
        <v>31875.2777777778</v>
      </c>
      <c r="F14" s="9" t="n">
        <f aca="false">F11*Assumptions!$E$13*Assumptions!$E$14*(1-Assumptions!$E$15)</f>
        <v>38005.1388888889</v>
      </c>
      <c r="G14" s="9" t="n">
        <f aca="false">G11*Assumptions!$E$13*Assumptions!$E$14*(1-Assumptions!$E$15)</f>
        <v>44135</v>
      </c>
      <c r="H14" s="9" t="n">
        <f aca="false">H11*Assumptions!$E$13*Assumptions!$E$14*(1-Assumptions!$E$15)</f>
        <v>59091.8611111111</v>
      </c>
      <c r="I14" s="9" t="n">
        <f aca="false">I11*Assumptions!$E$13*Assumptions!$E$14*(1-Assumptions!$E$15)</f>
        <v>67980.1597222222</v>
      </c>
      <c r="J14" s="9" t="n">
        <f aca="false">J11*Assumptions!$E$13*Assumptions!$E$14*(1-Assumptions!$E$15)</f>
        <v>76868.4583333333</v>
      </c>
      <c r="K14" s="9" t="n">
        <f aca="false">K11*Assumptions!$E$13*Assumptions!$E$14*(1-Assumptions!$E$15)</f>
        <v>85756.7569444444</v>
      </c>
      <c r="L14" s="9" t="n">
        <f aca="false">L11*Assumptions!$E$13*Assumptions!$E$14*(1-Assumptions!$E$15)</f>
        <v>94645.0555555556</v>
      </c>
      <c r="M14" s="9" t="n">
        <f aca="false">M11*Assumptions!$E$13*Assumptions!$E$14*(1-Assumptions!$E$15)</f>
        <v>103533.354166667</v>
      </c>
      <c r="N14" s="9" t="n">
        <f aca="false">N11*Assumptions!$E$13*Assumptions!$E$14*(1-Assumptions!$E$15)</f>
        <v>112421.652777778</v>
      </c>
      <c r="O14" s="9" t="n">
        <f aca="false">O11*Assumptions!$E$13*Assumptions!$E$14*(1-Assumptions!$E$15)</f>
        <v>121309.951388889</v>
      </c>
      <c r="P14" s="9" t="n">
        <f aca="false">P11*Assumptions!$E$13*Assumptions!$E$14*(1-Assumptions!$E$15)</f>
        <v>128972.277777778</v>
      </c>
      <c r="Q14" s="9" t="n">
        <f aca="false">Q11*Assumptions!$E$13*Assumptions!$E$14*(1-Assumptions!$E$15)</f>
        <v>131730.715277778</v>
      </c>
      <c r="R14" s="9" t="n">
        <f aca="false">R11*Assumptions!$E$13*Assumptions!$E$14*(1-Assumptions!$E$15)</f>
        <v>134489.152777778</v>
      </c>
      <c r="S14" s="9" t="n">
        <f aca="false">S11*Assumptions!$E$13*Assumptions!$E$14*(1-Assumptions!$E$15)</f>
        <v>137247.590277778</v>
      </c>
      <c r="T14" s="9" t="n">
        <f aca="false">T11*Assumptions!$E$13*Assumptions!$E$14*(1-Assumptions!$E$15)</f>
        <v>140006.027777778</v>
      </c>
      <c r="U14" s="9" t="n">
        <f aca="false">U11*Assumptions!$E$13*Assumptions!$E$14*(1-Assumptions!$E$15)</f>
        <v>142212.777777778</v>
      </c>
      <c r="V14" s="9" t="n">
        <f aca="false">V11*Assumptions!$E$13*Assumptions!$E$14*(1-Assumptions!$E$15)</f>
        <v>142212.777777778</v>
      </c>
      <c r="W14" s="9" t="n">
        <f aca="false">W11*Assumptions!$E$13*Assumptions!$E$14*(1-Assumptions!$E$15)</f>
        <v>142212.777777778</v>
      </c>
      <c r="X14" s="9" t="n">
        <f aca="false">X11*Assumptions!$E$13*Assumptions!$E$14*(1-Assumptions!$E$15)</f>
        <v>142212.777777778</v>
      </c>
      <c r="Y14" s="9" t="n">
        <f aca="false">Y11*Assumptions!$E$13*Assumptions!$E$14*(1-Assumptions!$E$15)</f>
        <v>142212.777777778</v>
      </c>
      <c r="Z14" s="9" t="n">
        <f aca="false">Z11*Assumptions!$E$13*Assumptions!$E$14*(1-Assumptions!$E$15)</f>
        <v>142212.777777778</v>
      </c>
      <c r="AA14" s="42" t="n">
        <f aca="false">SUM(C14:N14)</f>
        <v>759673.6875</v>
      </c>
      <c r="AB14" s="42" t="n">
        <f aca="false">SUM(O14:Z14)</f>
        <v>1647032.38194444</v>
      </c>
      <c r="AC14" s="42" t="n">
        <f aca="false">AA14+AB14</f>
        <v>2406706.06944444</v>
      </c>
    </row>
    <row r="15" customFormat="false" ht="15" hidden="false" customHeight="true" outlineLevel="0" collapsed="false">
      <c r="A15" s="10" t="s">
        <v>11</v>
      </c>
      <c r="C15" s="45" t="n">
        <f aca="false">C13+C14</f>
        <v>43154.2222222222</v>
      </c>
      <c r="D15" s="45" t="n">
        <f aca="false">D13+D14</f>
        <v>56639.9166666667</v>
      </c>
      <c r="E15" s="45" t="n">
        <f aca="false">E13+E14</f>
        <v>70125.6111111111</v>
      </c>
      <c r="F15" s="45" t="n">
        <f aca="false">F13+F14</f>
        <v>83611.3055555556</v>
      </c>
      <c r="G15" s="45" t="n">
        <f aca="false">G13+G14</f>
        <v>97097</v>
      </c>
      <c r="H15" s="45" t="n">
        <f aca="false">H13+H14</f>
        <v>130002.094444444</v>
      </c>
      <c r="I15" s="45" t="n">
        <f aca="false">I13+I14</f>
        <v>149556.351388889</v>
      </c>
      <c r="J15" s="45" t="n">
        <f aca="false">J13+J14</f>
        <v>169110.608333333</v>
      </c>
      <c r="K15" s="45" t="n">
        <f aca="false">K13+K14</f>
        <v>188664.865277778</v>
      </c>
      <c r="L15" s="45" t="n">
        <f aca="false">L13+L14</f>
        <v>208219.122222222</v>
      </c>
      <c r="M15" s="45" t="n">
        <f aca="false">M13+M14</f>
        <v>227773.379166667</v>
      </c>
      <c r="N15" s="45" t="n">
        <f aca="false">N13+N14</f>
        <v>247327.636111111</v>
      </c>
      <c r="O15" s="45" t="n">
        <f aca="false">O13+O14</f>
        <v>266881.893055556</v>
      </c>
      <c r="P15" s="45" t="n">
        <f aca="false">P13+P14</f>
        <v>283739.011111111</v>
      </c>
      <c r="Q15" s="45" t="n">
        <f aca="false">Q13+Q14</f>
        <v>289807.573611111</v>
      </c>
      <c r="R15" s="45" t="n">
        <f aca="false">R13+R14</f>
        <v>295876.136111111</v>
      </c>
      <c r="S15" s="45" t="n">
        <f aca="false">S13+S14</f>
        <v>301944.698611111</v>
      </c>
      <c r="T15" s="45" t="n">
        <f aca="false">T13+T14</f>
        <v>308013.261111111</v>
      </c>
      <c r="U15" s="45" t="n">
        <f aca="false">U13+U14</f>
        <v>312868.111111111</v>
      </c>
      <c r="V15" s="45" t="n">
        <f aca="false">V13+V14</f>
        <v>312868.111111111</v>
      </c>
      <c r="W15" s="45" t="n">
        <f aca="false">W13+W14</f>
        <v>312868.111111111</v>
      </c>
      <c r="X15" s="45" t="n">
        <f aca="false">X13+X14</f>
        <v>312868.111111111</v>
      </c>
      <c r="Y15" s="45" t="n">
        <f aca="false">Y13+Y14</f>
        <v>312868.111111111</v>
      </c>
      <c r="Z15" s="45" t="n">
        <f aca="false">Z13+Z14</f>
        <v>312868.111111111</v>
      </c>
      <c r="AA15" s="42" t="n">
        <f aca="false">SUM(C15:N15)</f>
        <v>1671282.1125</v>
      </c>
      <c r="AB15" s="42" t="n">
        <f aca="false">SUM(O15:Z15)</f>
        <v>3623471.24027778</v>
      </c>
      <c r="AC15" s="42" t="n">
        <f aca="false">AA15+AB15</f>
        <v>5294753.35277778</v>
      </c>
    </row>
    <row r="16" customFormat="false" ht="15" hidden="false" customHeight="true" outlineLevel="0" collapsed="false">
      <c r="A16" s="5" t="s">
        <v>139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customFormat="false" ht="15" hidden="false" customHeight="true" outlineLevel="0" collapsed="false">
      <c r="A17" s="7" t="s">
        <v>12</v>
      </c>
      <c r="C17" s="46" t="n">
        <f aca="false">C5</f>
        <v>8000</v>
      </c>
      <c r="D17" s="46" t="n">
        <f aca="false">D5</f>
        <v>10500</v>
      </c>
      <c r="E17" s="46" t="n">
        <f aca="false">E5</f>
        <v>13000</v>
      </c>
      <c r="F17" s="46" t="n">
        <f aca="false">F5</f>
        <v>15500</v>
      </c>
      <c r="G17" s="46" t="n">
        <f aca="false">G5</f>
        <v>18000</v>
      </c>
      <c r="H17" s="46" t="n">
        <f aca="false">H5</f>
        <v>20500</v>
      </c>
      <c r="I17" s="46" t="n">
        <f aca="false">I5</f>
        <v>23000</v>
      </c>
      <c r="J17" s="46" t="n">
        <f aca="false">J5</f>
        <v>25500</v>
      </c>
      <c r="K17" s="46" t="n">
        <f aca="false">K5</f>
        <v>28000</v>
      </c>
      <c r="L17" s="46" t="n">
        <f aca="false">L5</f>
        <v>30500</v>
      </c>
      <c r="M17" s="46" t="n">
        <f aca="false">M5</f>
        <v>33000</v>
      </c>
      <c r="N17" s="46" t="n">
        <f aca="false">N5</f>
        <v>35500</v>
      </c>
      <c r="O17" s="46" t="n">
        <f aca="false">O5</f>
        <v>38000</v>
      </c>
      <c r="P17" s="46" t="n">
        <f aca="false">P5</f>
        <v>40000</v>
      </c>
      <c r="Q17" s="46" t="n">
        <f aca="false">Q5</f>
        <v>40000</v>
      </c>
      <c r="R17" s="46" t="n">
        <f aca="false">R5</f>
        <v>40000</v>
      </c>
      <c r="S17" s="46" t="n">
        <f aca="false">S5</f>
        <v>40000</v>
      </c>
      <c r="T17" s="46" t="n">
        <f aca="false">T5</f>
        <v>40000</v>
      </c>
      <c r="U17" s="46" t="n">
        <f aca="false">U5</f>
        <v>40000</v>
      </c>
      <c r="V17" s="46" t="n">
        <f aca="false">V5</f>
        <v>40000</v>
      </c>
      <c r="W17" s="46" t="n">
        <f aca="false">W5</f>
        <v>40000</v>
      </c>
      <c r="X17" s="46" t="n">
        <f aca="false">X5</f>
        <v>40000</v>
      </c>
      <c r="Y17" s="46" t="n">
        <f aca="false">Y5</f>
        <v>40000</v>
      </c>
      <c r="Z17" s="46" t="n">
        <f aca="false">Z5</f>
        <v>40000</v>
      </c>
      <c r="AA17" s="42" t="n">
        <f aca="false">SUM(C17:N17)</f>
        <v>261000</v>
      </c>
      <c r="AB17" s="42" t="n">
        <f aca="false">SUM(O17:Z17)</f>
        <v>478000</v>
      </c>
      <c r="AC17" s="42" t="n">
        <f aca="false">AA17+AB17</f>
        <v>739000</v>
      </c>
    </row>
    <row r="18" customFormat="false" ht="15" hidden="false" customHeight="true" outlineLevel="0" collapsed="false">
      <c r="A18" s="7" t="s">
        <v>56</v>
      </c>
      <c r="C18" s="9" t="n">
        <f aca="false">Assumptions!$E$19</f>
        <v>2000</v>
      </c>
      <c r="D18" s="9" t="n">
        <f aca="false">Assumptions!$E$19</f>
        <v>2000</v>
      </c>
      <c r="E18" s="9" t="n">
        <f aca="false">Assumptions!$E$19</f>
        <v>2000</v>
      </c>
      <c r="F18" s="9" t="n">
        <f aca="false">Assumptions!$E$19</f>
        <v>2000</v>
      </c>
      <c r="G18" s="9" t="n">
        <f aca="false">Assumptions!$E$19</f>
        <v>2000</v>
      </c>
      <c r="H18" s="9" t="n">
        <f aca="false">Assumptions!$E$19</f>
        <v>2000</v>
      </c>
      <c r="I18" s="9" t="n">
        <f aca="false">Assumptions!$E$19</f>
        <v>2000</v>
      </c>
      <c r="J18" s="9" t="n">
        <f aca="false">Assumptions!$E$19</f>
        <v>2000</v>
      </c>
      <c r="K18" s="9" t="n">
        <f aca="false">Assumptions!$E$19</f>
        <v>2000</v>
      </c>
      <c r="L18" s="9" t="n">
        <f aca="false">Assumptions!$E$19</f>
        <v>2000</v>
      </c>
      <c r="M18" s="9" t="n">
        <f aca="false">Assumptions!$E$19</f>
        <v>2000</v>
      </c>
      <c r="N18" s="9" t="n">
        <f aca="false">Assumptions!$E$19</f>
        <v>2000</v>
      </c>
      <c r="O18" s="9" t="n">
        <f aca="false">Assumptions!$E$19</f>
        <v>2000</v>
      </c>
      <c r="P18" s="9" t="n">
        <f aca="false">Assumptions!$E$19</f>
        <v>2000</v>
      </c>
      <c r="Q18" s="9" t="n">
        <f aca="false">Assumptions!$E$19</f>
        <v>2000</v>
      </c>
      <c r="R18" s="9" t="n">
        <f aca="false">Assumptions!$E$19</f>
        <v>2000</v>
      </c>
      <c r="S18" s="9" t="n">
        <f aca="false">Assumptions!$E$19</f>
        <v>2000</v>
      </c>
      <c r="T18" s="9" t="n">
        <f aca="false">Assumptions!$E$19</f>
        <v>2000</v>
      </c>
      <c r="U18" s="9" t="n">
        <f aca="false">Assumptions!$E$19</f>
        <v>2000</v>
      </c>
      <c r="V18" s="9" t="n">
        <f aca="false">Assumptions!$E$19</f>
        <v>2000</v>
      </c>
      <c r="W18" s="9" t="n">
        <f aca="false">Assumptions!$E$19</f>
        <v>2000</v>
      </c>
      <c r="X18" s="9" t="n">
        <f aca="false">Assumptions!$E$19</f>
        <v>2000</v>
      </c>
      <c r="Y18" s="9" t="n">
        <f aca="false">Assumptions!$E$19</f>
        <v>2000</v>
      </c>
      <c r="Z18" s="9" t="n">
        <f aca="false">Assumptions!$E$19</f>
        <v>2000</v>
      </c>
      <c r="AA18" s="42" t="n">
        <f aca="false">SUM(C18:N18)</f>
        <v>24000</v>
      </c>
      <c r="AB18" s="42" t="n">
        <f aca="false">SUM(O18:Z18)</f>
        <v>24000</v>
      </c>
      <c r="AC18" s="42" t="n">
        <f aca="false">AA18+AB18</f>
        <v>48000</v>
      </c>
    </row>
    <row r="19" customFormat="false" ht="15" hidden="false" customHeight="true" outlineLevel="0" collapsed="false">
      <c r="A19" s="7" t="s">
        <v>55</v>
      </c>
      <c r="C19" s="9" t="n">
        <f aca="false">(C7+C9)*Assumptions!$E$20</f>
        <v>560</v>
      </c>
      <c r="D19" s="9" t="n">
        <f aca="false">(D7+D9)*Assumptions!$E$20</f>
        <v>735</v>
      </c>
      <c r="E19" s="9" t="n">
        <f aca="false">(E7+E9)*Assumptions!$E$20</f>
        <v>910</v>
      </c>
      <c r="F19" s="9" t="n">
        <f aca="false">(F7+F9)*Assumptions!$E$20</f>
        <v>1085</v>
      </c>
      <c r="G19" s="9" t="n">
        <f aca="false">(G7+G9)*Assumptions!$E$20</f>
        <v>1260</v>
      </c>
      <c r="H19" s="9" t="n">
        <f aca="false">(H7+H9)*Assumptions!$E$20</f>
        <v>1687</v>
      </c>
      <c r="I19" s="9" t="n">
        <f aca="false">(I7+I9)*Assumptions!$E$20</f>
        <v>1940.75</v>
      </c>
      <c r="J19" s="9" t="n">
        <f aca="false">(J7+J9)*Assumptions!$E$20</f>
        <v>2194.5</v>
      </c>
      <c r="K19" s="9" t="n">
        <f aca="false">(K7+K9)*Assumptions!$E$20</f>
        <v>2448.25</v>
      </c>
      <c r="L19" s="9" t="n">
        <f aca="false">(L7+L9)*Assumptions!$E$20</f>
        <v>2702</v>
      </c>
      <c r="M19" s="9" t="n">
        <f aca="false">(M7+M9)*Assumptions!$E$20</f>
        <v>2955.75</v>
      </c>
      <c r="N19" s="9" t="n">
        <f aca="false">(N7+N9)*Assumptions!$E$20</f>
        <v>3209.5</v>
      </c>
      <c r="O19" s="9" t="n">
        <f aca="false">(O7+O9)*Assumptions!$E$20</f>
        <v>3463.25</v>
      </c>
      <c r="P19" s="9" t="n">
        <f aca="false">(P7+P9)*Assumptions!$E$20</f>
        <v>3682</v>
      </c>
      <c r="Q19" s="9" t="n">
        <f aca="false">(Q7+Q9)*Assumptions!$E$20</f>
        <v>3760.75</v>
      </c>
      <c r="R19" s="9" t="n">
        <f aca="false">(R7+R9)*Assumptions!$E$20</f>
        <v>3839.5</v>
      </c>
      <c r="S19" s="9" t="n">
        <f aca="false">(S7+S9)*Assumptions!$E$20</f>
        <v>3918.25</v>
      </c>
      <c r="T19" s="9" t="n">
        <f aca="false">(T7+T9)*Assumptions!$E$20</f>
        <v>3997</v>
      </c>
      <c r="U19" s="9" t="n">
        <f aca="false">(U7+U9)*Assumptions!$E$20</f>
        <v>4060</v>
      </c>
      <c r="V19" s="9" t="n">
        <f aca="false">(V7+V9)*Assumptions!$E$20</f>
        <v>4060</v>
      </c>
      <c r="W19" s="9" t="n">
        <f aca="false">(W7+W9)*Assumptions!$E$20</f>
        <v>4060</v>
      </c>
      <c r="X19" s="9" t="n">
        <f aca="false">(X7+X9)*Assumptions!$E$20</f>
        <v>4060</v>
      </c>
      <c r="Y19" s="9" t="n">
        <f aca="false">(Y7+Y9)*Assumptions!$E$20</f>
        <v>4060</v>
      </c>
      <c r="Z19" s="9" t="n">
        <f aca="false">(Z7+Z9)*Assumptions!$E$20</f>
        <v>4060</v>
      </c>
      <c r="AA19" s="42" t="n">
        <f aca="false">SUM(C19:N19)</f>
        <v>21687.75</v>
      </c>
      <c r="AB19" s="42" t="n">
        <f aca="false">SUM(O19:Z19)</f>
        <v>47020.75</v>
      </c>
      <c r="AC19" s="42" t="n">
        <f aca="false">AA19+AB19</f>
        <v>68708.5</v>
      </c>
    </row>
    <row r="20" customFormat="false" ht="15" hidden="false" customHeight="true" outlineLevel="0" collapsed="false">
      <c r="A20" s="10" t="s">
        <v>140</v>
      </c>
      <c r="C20" s="45" t="n">
        <f aca="false">SUM(C17:C19)</f>
        <v>10560</v>
      </c>
      <c r="D20" s="45" t="n">
        <f aca="false">SUM(D17:D19)</f>
        <v>13235</v>
      </c>
      <c r="E20" s="45" t="n">
        <f aca="false">SUM(E17:E19)</f>
        <v>15910</v>
      </c>
      <c r="F20" s="45" t="n">
        <f aca="false">SUM(F17:F19)</f>
        <v>18585</v>
      </c>
      <c r="G20" s="45" t="n">
        <f aca="false">SUM(G17:G19)</f>
        <v>21260</v>
      </c>
      <c r="H20" s="45" t="n">
        <f aca="false">SUM(H17:H19)</f>
        <v>24187</v>
      </c>
      <c r="I20" s="45" t="n">
        <f aca="false">SUM(I17:I19)</f>
        <v>26940.75</v>
      </c>
      <c r="J20" s="45" t="n">
        <f aca="false">SUM(J17:J19)</f>
        <v>29694.5</v>
      </c>
      <c r="K20" s="45" t="n">
        <f aca="false">SUM(K17:K19)</f>
        <v>32448.25</v>
      </c>
      <c r="L20" s="45" t="n">
        <f aca="false">SUM(L17:L19)</f>
        <v>35202</v>
      </c>
      <c r="M20" s="45" t="n">
        <f aca="false">SUM(M17:M19)</f>
        <v>37955.75</v>
      </c>
      <c r="N20" s="45" t="n">
        <f aca="false">SUM(N17:N19)</f>
        <v>40709.5</v>
      </c>
      <c r="O20" s="45" t="n">
        <f aca="false">SUM(O17:O19)</f>
        <v>43463.25</v>
      </c>
      <c r="P20" s="45" t="n">
        <f aca="false">SUM(P17:P19)</f>
        <v>45682</v>
      </c>
      <c r="Q20" s="45" t="n">
        <f aca="false">SUM(Q17:Q19)</f>
        <v>45760.75</v>
      </c>
      <c r="R20" s="45" t="n">
        <f aca="false">SUM(R17:R19)</f>
        <v>45839.5</v>
      </c>
      <c r="S20" s="45" t="n">
        <f aca="false">SUM(S17:S19)</f>
        <v>45918.25</v>
      </c>
      <c r="T20" s="45" t="n">
        <f aca="false">SUM(T17:T19)</f>
        <v>45997</v>
      </c>
      <c r="U20" s="45" t="n">
        <f aca="false">SUM(U17:U19)</f>
        <v>46060</v>
      </c>
      <c r="V20" s="45" t="n">
        <f aca="false">SUM(V17:V19)</f>
        <v>46060</v>
      </c>
      <c r="W20" s="45" t="n">
        <f aca="false">SUM(W17:W19)</f>
        <v>46060</v>
      </c>
      <c r="X20" s="45" t="n">
        <f aca="false">SUM(X17:X19)</f>
        <v>46060</v>
      </c>
      <c r="Y20" s="45" t="n">
        <f aca="false">SUM(Y17:Y19)</f>
        <v>46060</v>
      </c>
      <c r="Z20" s="45" t="n">
        <f aca="false">SUM(Z17:Z19)</f>
        <v>46060</v>
      </c>
      <c r="AA20" s="42" t="n">
        <f aca="false">SUM(C20:N20)</f>
        <v>306687.75</v>
      </c>
      <c r="AB20" s="42" t="n">
        <f aca="false">SUM(O20:Z20)</f>
        <v>549020.75</v>
      </c>
      <c r="AC20" s="42" t="n">
        <f aca="false">AA20+AB20</f>
        <v>855708.5</v>
      </c>
    </row>
    <row r="21" customFormat="false" ht="15" hidden="false" customHeight="true" outlineLevel="0" collapsed="false">
      <c r="A21" s="10" t="s">
        <v>13</v>
      </c>
      <c r="C21" s="45" t="n">
        <f aca="false">C15-C20</f>
        <v>32594.2222222222</v>
      </c>
      <c r="D21" s="45" t="n">
        <f aca="false">D15-D20</f>
        <v>43404.9166666667</v>
      </c>
      <c r="E21" s="45" t="n">
        <f aca="false">E15-E20</f>
        <v>54215.6111111111</v>
      </c>
      <c r="F21" s="45" t="n">
        <f aca="false">F15-F20</f>
        <v>65026.3055555556</v>
      </c>
      <c r="G21" s="45" t="n">
        <f aca="false">G15-G20</f>
        <v>75837</v>
      </c>
      <c r="H21" s="45" t="n">
        <f aca="false">H15-H20</f>
        <v>105815.094444444</v>
      </c>
      <c r="I21" s="45" t="n">
        <f aca="false">I15-I20</f>
        <v>122615.601388889</v>
      </c>
      <c r="J21" s="45" t="n">
        <f aca="false">J15-J20</f>
        <v>139416.108333333</v>
      </c>
      <c r="K21" s="45" t="n">
        <f aca="false">K15-K20</f>
        <v>156216.615277778</v>
      </c>
      <c r="L21" s="45" t="n">
        <f aca="false">L15-L20</f>
        <v>173017.122222222</v>
      </c>
      <c r="M21" s="45" t="n">
        <f aca="false">M15-M20</f>
        <v>189817.629166667</v>
      </c>
      <c r="N21" s="45" t="n">
        <f aca="false">N15-N20</f>
        <v>206618.136111111</v>
      </c>
      <c r="O21" s="45" t="n">
        <f aca="false">O15-O20</f>
        <v>223418.643055556</v>
      </c>
      <c r="P21" s="45" t="n">
        <f aca="false">P15-P20</f>
        <v>238057.011111111</v>
      </c>
      <c r="Q21" s="45" t="n">
        <f aca="false">Q15-Q20</f>
        <v>244046.823611111</v>
      </c>
      <c r="R21" s="45" t="n">
        <f aca="false">R15-R20</f>
        <v>250036.636111111</v>
      </c>
      <c r="S21" s="45" t="n">
        <f aca="false">S15-S20</f>
        <v>256026.448611111</v>
      </c>
      <c r="T21" s="45" t="n">
        <f aca="false">T15-T20</f>
        <v>262016.261111111</v>
      </c>
      <c r="U21" s="45" t="n">
        <f aca="false">U15-U20</f>
        <v>266808.111111111</v>
      </c>
      <c r="V21" s="45" t="n">
        <f aca="false">V15-V20</f>
        <v>266808.111111111</v>
      </c>
      <c r="W21" s="45" t="n">
        <f aca="false">W15-W20</f>
        <v>266808.111111111</v>
      </c>
      <c r="X21" s="45" t="n">
        <f aca="false">X15-X20</f>
        <v>266808.111111111</v>
      </c>
      <c r="Y21" s="45" t="n">
        <f aca="false">Y15-Y20</f>
        <v>266808.111111111</v>
      </c>
      <c r="Z21" s="45" t="n">
        <f aca="false">Z15-Z20</f>
        <v>266808.111111111</v>
      </c>
      <c r="AA21" s="42" t="n">
        <f aca="false">SUM(C21:N21)</f>
        <v>1364594.3625</v>
      </c>
      <c r="AB21" s="42" t="n">
        <f aca="false">SUM(O21:Z21)</f>
        <v>3074450.49027778</v>
      </c>
      <c r="AC21" s="42" t="n">
        <f aca="false">AA21+AB21</f>
        <v>4439044.85277778</v>
      </c>
    </row>
    <row r="22" customFormat="false" ht="15" hidden="false" customHeight="true" outlineLevel="0" collapsed="false">
      <c r="A22" s="7" t="s">
        <v>141</v>
      </c>
      <c r="C22" s="46" t="n">
        <f aca="false">C21</f>
        <v>32594.2222222222</v>
      </c>
      <c r="D22" s="46" t="n">
        <f aca="false">C22+D21</f>
        <v>75999.1388888889</v>
      </c>
      <c r="E22" s="46" t="n">
        <f aca="false">D22+E21</f>
        <v>130214.75</v>
      </c>
      <c r="F22" s="46" t="n">
        <f aca="false">E22+F21</f>
        <v>195241.055555556</v>
      </c>
      <c r="G22" s="46" t="n">
        <f aca="false">F22+G21</f>
        <v>271078.055555556</v>
      </c>
      <c r="H22" s="46" t="n">
        <f aca="false">G22+H21</f>
        <v>376893.15</v>
      </c>
      <c r="I22" s="46" t="n">
        <f aca="false">H22+I21</f>
        <v>499508.751388889</v>
      </c>
      <c r="J22" s="46" t="n">
        <f aca="false">I22+J21</f>
        <v>638924.859722222</v>
      </c>
      <c r="K22" s="46" t="n">
        <f aca="false">J22+K21</f>
        <v>795141.475</v>
      </c>
      <c r="L22" s="46" t="n">
        <f aca="false">K22+L21</f>
        <v>968158.597222222</v>
      </c>
      <c r="M22" s="46" t="n">
        <f aca="false">L22+M21</f>
        <v>1157976.22638889</v>
      </c>
      <c r="N22" s="46" t="n">
        <f aca="false">M22+N21</f>
        <v>1364594.3625</v>
      </c>
      <c r="O22" s="46" t="n">
        <f aca="false">N22+O21</f>
        <v>1588013.00555556</v>
      </c>
      <c r="P22" s="46" t="n">
        <f aca="false">O22+P21</f>
        <v>1826070.01666667</v>
      </c>
      <c r="Q22" s="46" t="n">
        <f aca="false">P22+Q21</f>
        <v>2070116.84027778</v>
      </c>
      <c r="R22" s="46" t="n">
        <f aca="false">Q22+R21</f>
        <v>2320153.47638889</v>
      </c>
      <c r="S22" s="46" t="n">
        <f aca="false">R22+S21</f>
        <v>2576179.925</v>
      </c>
      <c r="T22" s="46" t="n">
        <f aca="false">S22+T21</f>
        <v>2838196.18611111</v>
      </c>
      <c r="U22" s="46" t="n">
        <f aca="false">T22+U21</f>
        <v>3105004.29722222</v>
      </c>
      <c r="V22" s="46" t="n">
        <f aca="false">U22+V21</f>
        <v>3371812.40833333</v>
      </c>
      <c r="W22" s="46" t="n">
        <f aca="false">V22+W21</f>
        <v>3638620.51944445</v>
      </c>
      <c r="X22" s="46" t="n">
        <f aca="false">W22+X21</f>
        <v>3905428.63055556</v>
      </c>
      <c r="Y22" s="46" t="n">
        <f aca="false">X22+Y21</f>
        <v>4172236.74166667</v>
      </c>
      <c r="Z22" s="46" t="n">
        <f aca="false">Y22+Z21</f>
        <v>4439044.85277778</v>
      </c>
      <c r="AA22" s="42" t="n">
        <f aca="false">N22</f>
        <v>1364594.3625</v>
      </c>
      <c r="AB22" s="42" t="n">
        <f aca="false">Z22</f>
        <v>4439044.85277778</v>
      </c>
      <c r="AC22" s="42" t="n">
        <f aca="false">Z22</f>
        <v>4439044.85277778</v>
      </c>
    </row>
    <row r="23" customFormat="false" ht="15" hidden="false" customHeight="true" outlineLevel="0" collapsed="false">
      <c r="A23" s="5" t="s">
        <v>142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customFormat="false" ht="15" hidden="false" customHeight="true" outlineLevel="0" collapsed="false">
      <c r="A24" s="7" t="s">
        <v>143</v>
      </c>
      <c r="C24" s="46" t="n">
        <f aca="false">IFERROR(C5/C7,0)</f>
        <v>1285.71428571429</v>
      </c>
      <c r="D24" s="46" t="n">
        <f aca="false">IFERROR(D5/D7,0)</f>
        <v>1285.71428571429</v>
      </c>
      <c r="E24" s="46" t="n">
        <f aca="false">IFERROR(E5/E7,0)</f>
        <v>1285.71428571429</v>
      </c>
      <c r="F24" s="46" t="n">
        <f aca="false">IFERROR(F5/F7,0)</f>
        <v>1285.71428571429</v>
      </c>
      <c r="G24" s="46" t="n">
        <f aca="false">IFERROR(G5/G7,0)</f>
        <v>1285.71428571429</v>
      </c>
      <c r="H24" s="46" t="n">
        <f aca="false">IFERROR(H5/H7,0)</f>
        <v>1285.71428571429</v>
      </c>
      <c r="I24" s="46" t="n">
        <f aca="false">IFERROR(I5/I7,0)</f>
        <v>1285.71428571429</v>
      </c>
      <c r="J24" s="46" t="n">
        <f aca="false">IFERROR(J5/J7,0)</f>
        <v>1285.71428571429</v>
      </c>
      <c r="K24" s="46" t="n">
        <f aca="false">IFERROR(K5/K7,0)</f>
        <v>1285.71428571429</v>
      </c>
      <c r="L24" s="46" t="n">
        <f aca="false">IFERROR(L5/L7,0)</f>
        <v>1285.71428571429</v>
      </c>
      <c r="M24" s="46" t="n">
        <f aca="false">IFERROR(M5/M7,0)</f>
        <v>1285.71428571429</v>
      </c>
      <c r="N24" s="46" t="n">
        <f aca="false">IFERROR(N5/N7,0)</f>
        <v>1285.71428571429</v>
      </c>
      <c r="O24" s="46" t="n">
        <f aca="false">IFERROR(O5/O7,0)</f>
        <v>1285.71428571429</v>
      </c>
      <c r="P24" s="46" t="n">
        <f aca="false">IFERROR(P5/P7,0)</f>
        <v>1285.71428571429</v>
      </c>
      <c r="Q24" s="46" t="n">
        <f aca="false">IFERROR(Q5/Q7,0)</f>
        <v>1285.71428571429</v>
      </c>
      <c r="R24" s="46" t="n">
        <f aca="false">IFERROR(R5/R7,0)</f>
        <v>1285.71428571429</v>
      </c>
      <c r="S24" s="46" t="n">
        <f aca="false">IFERROR(S5/S7,0)</f>
        <v>1285.71428571429</v>
      </c>
      <c r="T24" s="46" t="n">
        <f aca="false">IFERROR(T5/T7,0)</f>
        <v>1285.71428571429</v>
      </c>
      <c r="U24" s="46" t="n">
        <f aca="false">IFERROR(U5/U7,0)</f>
        <v>1285.71428571429</v>
      </c>
      <c r="V24" s="46" t="n">
        <f aca="false">IFERROR(V5/V7,0)</f>
        <v>1285.71428571429</v>
      </c>
      <c r="W24" s="46" t="n">
        <f aca="false">IFERROR(W5/W7,0)</f>
        <v>1285.71428571429</v>
      </c>
      <c r="X24" s="46" t="n">
        <f aca="false">IFERROR(X5/X7,0)</f>
        <v>1285.71428571429</v>
      </c>
      <c r="Y24" s="46" t="n">
        <f aca="false">IFERROR(Y5/Y7,0)</f>
        <v>1285.71428571429</v>
      </c>
      <c r="Z24" s="46" t="n">
        <f aca="false">IFERROR(Z5/Z7,0)</f>
        <v>1285.71428571429</v>
      </c>
      <c r="AA24" s="42" t="n">
        <f aca="false">IFERROR(AA5/AA7,0)</f>
        <v>1285.71428571429</v>
      </c>
      <c r="AB24" s="42" t="n">
        <f aca="false">IFERROR(AB5/AB7,0)</f>
        <v>1285.71428571429</v>
      </c>
      <c r="AC24" s="42" t="n">
        <f aca="false">IFERROR(AC5/AC7,0)</f>
        <v>1285.71428571429</v>
      </c>
    </row>
    <row r="25" customFormat="false" ht="15" hidden="false" customHeight="true" outlineLevel="0" collapsed="false">
      <c r="A25" s="7" t="s">
        <v>144</v>
      </c>
      <c r="C25" s="46" t="n">
        <f aca="false">IFERROR(C15/(C7+C9),0)</f>
        <v>6935.5</v>
      </c>
      <c r="D25" s="46" t="n">
        <f aca="false">IFERROR(D15/(D7+D9),0)</f>
        <v>6935.5</v>
      </c>
      <c r="E25" s="46" t="n">
        <f aca="false">IFERROR(E15/(E7+E9),0)</f>
        <v>6935.5</v>
      </c>
      <c r="F25" s="46" t="n">
        <f aca="false">IFERROR(F15/(F7+F9),0)</f>
        <v>6935.5</v>
      </c>
      <c r="G25" s="46" t="n">
        <f aca="false">IFERROR(G15/(G7+G9),0)</f>
        <v>6935.5</v>
      </c>
      <c r="H25" s="46" t="n">
        <f aca="false">IFERROR(H15/(H7+H9),0)</f>
        <v>6935.5</v>
      </c>
      <c r="I25" s="46" t="n">
        <f aca="false">IFERROR(I15/(I7+I9),0)</f>
        <v>6935.5</v>
      </c>
      <c r="J25" s="46" t="n">
        <f aca="false">IFERROR(J15/(J7+J9),0)</f>
        <v>6935.5</v>
      </c>
      <c r="K25" s="46" t="n">
        <f aca="false">IFERROR(K15/(K7+K9),0)</f>
        <v>6935.5</v>
      </c>
      <c r="L25" s="46" t="n">
        <f aca="false">IFERROR(L15/(L7+L9),0)</f>
        <v>6935.5</v>
      </c>
      <c r="M25" s="46" t="n">
        <f aca="false">IFERROR(M15/(M7+M9),0)</f>
        <v>6935.5</v>
      </c>
      <c r="N25" s="46" t="n">
        <f aca="false">IFERROR(N15/(N7+N9),0)</f>
        <v>6935.5</v>
      </c>
      <c r="O25" s="46" t="n">
        <f aca="false">IFERROR(O15/(O7+O9),0)</f>
        <v>6935.5</v>
      </c>
      <c r="P25" s="46" t="n">
        <f aca="false">IFERROR(P15/(P7+P9),0)</f>
        <v>6935.5</v>
      </c>
      <c r="Q25" s="46" t="n">
        <f aca="false">IFERROR(Q15/(Q7+Q9),0)</f>
        <v>6935.5</v>
      </c>
      <c r="R25" s="46" t="n">
        <f aca="false">IFERROR(R15/(R7+R9),0)</f>
        <v>6935.5</v>
      </c>
      <c r="S25" s="46" t="n">
        <f aca="false">IFERROR(S15/(S7+S9),0)</f>
        <v>6935.5</v>
      </c>
      <c r="T25" s="46" t="n">
        <f aca="false">IFERROR(T15/(T7+T9),0)</f>
        <v>6935.5</v>
      </c>
      <c r="U25" s="46" t="n">
        <f aca="false">IFERROR(U15/(U7+U9),0)</f>
        <v>6935.5</v>
      </c>
      <c r="V25" s="46" t="n">
        <f aca="false">IFERROR(V15/(V7+V9),0)</f>
        <v>6935.5</v>
      </c>
      <c r="W25" s="46" t="n">
        <f aca="false">IFERROR(W15/(W7+W9),0)</f>
        <v>6935.5</v>
      </c>
      <c r="X25" s="46" t="n">
        <f aca="false">IFERROR(X15/(X7+X9),0)</f>
        <v>6935.5</v>
      </c>
      <c r="Y25" s="46" t="n">
        <f aca="false">IFERROR(Y15/(Y7+Y9),0)</f>
        <v>6935.5</v>
      </c>
      <c r="Z25" s="46" t="n">
        <f aca="false">IFERROR(Z15/(Z7+Z9),0)</f>
        <v>6935.5</v>
      </c>
      <c r="AA25" s="42" t="n">
        <f aca="false">IFERROR(AA15/(AA7+AA9),0)</f>
        <v>6935.5</v>
      </c>
      <c r="AB25" s="42" t="n">
        <f aca="false">IFERROR(AB15/(AB7+AB9),0)</f>
        <v>6935.5</v>
      </c>
      <c r="AC25" s="42" t="n">
        <f aca="false">IFERROR(AC15/(AC7+AC9),0)</f>
        <v>6935.5</v>
      </c>
    </row>
    <row r="26" customFormat="false" ht="15" hidden="false" customHeight="true" outlineLevel="0" collapsed="false">
      <c r="A26" s="7" t="s">
        <v>18</v>
      </c>
      <c r="C26" s="47" t="n">
        <f aca="false">C6/21.7</f>
        <v>4.09626216077829</v>
      </c>
      <c r="D26" s="47" t="n">
        <f aca="false">D6/21.7</f>
        <v>5.37634408602151</v>
      </c>
      <c r="E26" s="47" t="n">
        <f aca="false">E6/21.7</f>
        <v>6.65642601126472</v>
      </c>
      <c r="F26" s="47" t="n">
        <f aca="false">F6/21.7</f>
        <v>7.93650793650794</v>
      </c>
      <c r="G26" s="47" t="n">
        <f aca="false">G6/21.7</f>
        <v>9.21658986175115</v>
      </c>
      <c r="H26" s="47" t="n">
        <f aca="false">H6/21.7</f>
        <v>10.4966717869944</v>
      </c>
      <c r="I26" s="47" t="n">
        <f aca="false">I6/21.7</f>
        <v>11.7767537122376</v>
      </c>
      <c r="J26" s="47" t="n">
        <f aca="false">J6/21.7</f>
        <v>13.0568356374808</v>
      </c>
      <c r="K26" s="47" t="n">
        <f aca="false">K6/21.7</f>
        <v>14.336917562724</v>
      </c>
      <c r="L26" s="47" t="n">
        <f aca="false">L6/21.7</f>
        <v>15.6169994879672</v>
      </c>
      <c r="M26" s="47" t="n">
        <f aca="false">M6/21.7</f>
        <v>16.8970814132104</v>
      </c>
      <c r="N26" s="47" t="n">
        <f aca="false">N6/21.7</f>
        <v>18.1771633384537</v>
      </c>
      <c r="O26" s="47" t="n">
        <f aca="false">O6/21.7</f>
        <v>19.4572452636969</v>
      </c>
      <c r="P26" s="47" t="n">
        <f aca="false">P6/21.7</f>
        <v>20.4813108038915</v>
      </c>
      <c r="Q26" s="47" t="n">
        <f aca="false">Q6/21.7</f>
        <v>20.4813108038915</v>
      </c>
      <c r="R26" s="47" t="n">
        <f aca="false">R6/21.7</f>
        <v>20.4813108038915</v>
      </c>
      <c r="S26" s="47" t="n">
        <f aca="false">S6/21.7</f>
        <v>20.4813108038915</v>
      </c>
      <c r="T26" s="47" t="n">
        <f aca="false">T6/21.7</f>
        <v>20.4813108038915</v>
      </c>
      <c r="U26" s="47" t="n">
        <f aca="false">U6/21.7</f>
        <v>20.4813108038915</v>
      </c>
      <c r="V26" s="47" t="n">
        <f aca="false">V6/21.7</f>
        <v>20.4813108038915</v>
      </c>
      <c r="W26" s="47" t="n">
        <f aca="false">W6/21.7</f>
        <v>20.4813108038915</v>
      </c>
      <c r="X26" s="47" t="n">
        <f aca="false">X6/21.7</f>
        <v>20.4813108038915</v>
      </c>
      <c r="Y26" s="47" t="n">
        <f aca="false">Y6/21.7</f>
        <v>20.4813108038915</v>
      </c>
      <c r="Z26" s="47" t="n">
        <f aca="false">Z6/21.7</f>
        <v>20.4813108038915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90"/>
  </cols>
  <sheetData>
    <row r="1" customFormat="false" ht="17.25" hidden="false" customHeight="true" outlineLevel="0" collapsed="false">
      <c r="A1" s="2" t="s">
        <v>149</v>
      </c>
    </row>
    <row r="2" customFormat="false" ht="15" hidden="false" customHeight="true" outlineLevel="0" collapsed="false">
      <c r="A2" s="3" t="s">
        <v>150</v>
      </c>
    </row>
    <row r="4" customFormat="false" ht="15" hidden="false" customHeight="true" outlineLevel="0" collapsed="false">
      <c r="A4" s="4" t="s">
        <v>151</v>
      </c>
      <c r="B4" s="4" t="s">
        <v>152</v>
      </c>
      <c r="C4" s="4" t="s">
        <v>77</v>
      </c>
    </row>
    <row r="5" customFormat="false" ht="15" hidden="false" customHeight="true" outlineLevel="0" collapsed="false">
      <c r="A5" s="7" t="s">
        <v>153</v>
      </c>
      <c r="B5" s="32" t="n">
        <v>140000000</v>
      </c>
      <c r="C5" s="3" t="s">
        <v>154</v>
      </c>
    </row>
    <row r="6" customFormat="false" ht="15" hidden="false" customHeight="true" outlineLevel="0" collapsed="false">
      <c r="A6" s="7" t="s">
        <v>155</v>
      </c>
      <c r="B6" s="34" t="n">
        <v>17000</v>
      </c>
      <c r="C6" s="3" t="s">
        <v>154</v>
      </c>
    </row>
    <row r="7" customFormat="false" ht="15" hidden="false" customHeight="true" outlineLevel="0" collapsed="false">
      <c r="A7" s="7" t="s">
        <v>156</v>
      </c>
      <c r="B7" s="33" t="n">
        <v>0.97</v>
      </c>
      <c r="C7" s="3" t="s">
        <v>157</v>
      </c>
    </row>
    <row r="8" customFormat="false" ht="15" hidden="false" customHeight="true" outlineLevel="0" collapsed="false">
      <c r="A8" s="7" t="s">
        <v>158</v>
      </c>
      <c r="B8" s="32" t="n">
        <v>300000000</v>
      </c>
      <c r="C8" s="3" t="s">
        <v>159</v>
      </c>
    </row>
    <row r="9" customFormat="false" ht="15" hidden="false" customHeight="true" outlineLevel="0" collapsed="false">
      <c r="A9" s="7" t="s">
        <v>160</v>
      </c>
      <c r="B9" s="34" t="n">
        <v>1400</v>
      </c>
      <c r="C9" s="3" t="s">
        <v>159</v>
      </c>
    </row>
    <row r="10" customFormat="false" ht="15" hidden="false" customHeight="true" outlineLevel="0" collapsed="false">
      <c r="A10" s="7" t="s">
        <v>161</v>
      </c>
      <c r="B10" s="48" t="s">
        <v>162</v>
      </c>
      <c r="C10" s="3" t="s">
        <v>163</v>
      </c>
    </row>
    <row r="11" customFormat="false" ht="15" hidden="false" customHeight="true" outlineLevel="0" collapsed="false">
      <c r="A11" s="7" t="s">
        <v>164</v>
      </c>
      <c r="B11" s="48" t="s">
        <v>165</v>
      </c>
      <c r="C11" s="3" t="s">
        <v>163</v>
      </c>
    </row>
    <row r="12" customFormat="false" ht="15" hidden="false" customHeight="true" outlineLevel="0" collapsed="false">
      <c r="A12" s="7" t="s">
        <v>166</v>
      </c>
      <c r="B12" s="48" t="s">
        <v>167</v>
      </c>
      <c r="C12" s="3" t="s">
        <v>163</v>
      </c>
    </row>
    <row r="14" customFormat="false" ht="15" hidden="false" customHeight="true" outlineLevel="0" collapsed="false">
      <c r="A14" s="4" t="s">
        <v>168</v>
      </c>
      <c r="B14" s="35"/>
      <c r="C14" s="35"/>
    </row>
    <row r="15" customFormat="false" ht="15" hidden="false" customHeight="true" outlineLevel="0" collapsed="false">
      <c r="A15" s="7" t="s">
        <v>37</v>
      </c>
      <c r="B15" s="36" t="n">
        <f aca="false">IFERROR(B8/B9,0)</f>
        <v>214285.714285714</v>
      </c>
      <c r="C15" s="3" t="s">
        <v>169</v>
      </c>
    </row>
    <row r="16" customFormat="false" ht="15" hidden="false" customHeight="true" outlineLevel="0" collapsed="false">
      <c r="A16" s="7" t="s">
        <v>170</v>
      </c>
      <c r="B16" s="49" t="n">
        <f aca="false">IFERROR(B5/B15,0)</f>
        <v>653.333333333333</v>
      </c>
      <c r="C16" s="3" t="s">
        <v>171</v>
      </c>
    </row>
    <row r="17" customFormat="false" ht="15" hidden="false" customHeight="true" outlineLevel="0" collapsed="false">
      <c r="A17" s="7" t="s">
        <v>172</v>
      </c>
      <c r="B17" s="37" t="n">
        <f aca="false">IFERROR(B16/B6,0)</f>
        <v>0.0384313725490196</v>
      </c>
      <c r="C17" s="3" t="s">
        <v>173</v>
      </c>
    </row>
    <row r="18" customFormat="false" ht="15" hidden="false" customHeight="true" outlineLevel="0" collapsed="false">
      <c r="A18" s="7" t="s">
        <v>174</v>
      </c>
      <c r="B18" s="38" t="n">
        <f aca="false">B16/12</f>
        <v>54.4444444444445</v>
      </c>
      <c r="C18" s="3"/>
    </row>
    <row r="20" customFormat="false" ht="15" hidden="false" customHeight="true" outlineLevel="0" collapsed="false">
      <c r="A20" s="4" t="s">
        <v>175</v>
      </c>
      <c r="B20" s="4" t="s">
        <v>176</v>
      </c>
      <c r="C20" s="4" t="s">
        <v>177</v>
      </c>
      <c r="D20" s="4" t="s">
        <v>178</v>
      </c>
    </row>
    <row r="21" customFormat="false" ht="15" hidden="false" customHeight="true" outlineLevel="0" collapsed="false">
      <c r="A21" s="1" t="s">
        <v>179</v>
      </c>
      <c r="B21" s="31" t="n">
        <v>0.02</v>
      </c>
      <c r="C21" s="31" t="n">
        <v>0.04</v>
      </c>
      <c r="D21" s="31" t="n">
        <v>0.06</v>
      </c>
      <c r="E21" s="3" t="s">
        <v>180</v>
      </c>
    </row>
    <row r="22" customFormat="false" ht="15" hidden="false" customHeight="true" outlineLevel="0" collapsed="false">
      <c r="A22" s="1" t="s">
        <v>181</v>
      </c>
      <c r="B22" s="50" t="n">
        <f aca="false">$B$5*B21</f>
        <v>2800000</v>
      </c>
      <c r="C22" s="50" t="n">
        <f aca="false">$B$5*C21</f>
        <v>5600000</v>
      </c>
      <c r="D22" s="50" t="n">
        <f aca="false">$B$5*D21</f>
        <v>8400000</v>
      </c>
    </row>
    <row r="23" customFormat="false" ht="15" hidden="false" customHeight="true" outlineLevel="0" collapsed="false">
      <c r="A23" s="1" t="s">
        <v>182</v>
      </c>
      <c r="B23" s="31" t="n">
        <v>0.2</v>
      </c>
      <c r="C23" s="31" t="n">
        <v>0.3</v>
      </c>
      <c r="D23" s="31" t="n">
        <v>0.4</v>
      </c>
      <c r="E23" s="3" t="s">
        <v>183</v>
      </c>
    </row>
    <row r="24" customFormat="false" ht="15" hidden="false" customHeight="true" outlineLevel="0" collapsed="false">
      <c r="A24" s="10" t="s">
        <v>184</v>
      </c>
      <c r="B24" s="42" t="n">
        <f aca="false">B22*B23</f>
        <v>560000</v>
      </c>
      <c r="C24" s="42" t="n">
        <f aca="false">C22*C23</f>
        <v>1680000</v>
      </c>
      <c r="D24" s="42" t="n">
        <f aca="false">D22*D23</f>
        <v>3360000</v>
      </c>
    </row>
    <row r="26" customFormat="false" ht="15" hidden="false" customHeight="true" outlineLevel="0" collapsed="false">
      <c r="A26" s="4" t="s">
        <v>185</v>
      </c>
      <c r="B26" s="35"/>
      <c r="C26" s="35"/>
    </row>
    <row r="27" customFormat="false" ht="15" hidden="false" customHeight="true" outlineLevel="0" collapsed="false">
      <c r="A27" s="1" t="s">
        <v>186</v>
      </c>
      <c r="B27" s="9" t="n">
        <f aca="false">IFERROR(C24/(Assumptions!D26/Assumptions!D5),0)</f>
        <v>42639593.9086295</v>
      </c>
      <c r="C27" s="3" t="s">
        <v>187</v>
      </c>
    </row>
    <row r="28" customFormat="false" ht="15" hidden="false" customHeight="true" outlineLevel="0" collapsed="false">
      <c r="A28" s="1" t="s">
        <v>188</v>
      </c>
      <c r="B28" s="12" t="n">
        <f aca="false">IFERROR(B27/Assumptions!D5/12,0)</f>
        <v>71.0659898477157</v>
      </c>
    </row>
    <row r="29" customFormat="false" ht="15" hidden="false" customHeight="true" outlineLevel="0" collapsed="false">
      <c r="A29" s="1" t="s">
        <v>189</v>
      </c>
      <c r="B29" s="51" t="n">
        <f aca="false">IFERROR(B27/B5,0)</f>
        <v>0.304568527918782</v>
      </c>
      <c r="C29" s="3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2026-10-01T18:26:33Z</dcterms:created>
  <dc:creator>openpyxl</dc:creator>
  <dc:description/>
  <dc:language>en-US</dc:language>
  <cp:lastModifiedBy/>
  <dcterms:modified xsi:type="dcterms:W3CDTF">2026-10-01T18:36:14Z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